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ups\Downloads\"/>
    </mc:Choice>
  </mc:AlternateContent>
  <xr:revisionPtr revIDLastSave="0" documentId="8_{0D42CF63-A255-486B-AFE3-9B46009AEA14}" xr6:coauthVersionLast="47" xr6:coauthVersionMax="47" xr10:uidLastSave="{00000000-0000-0000-0000-000000000000}"/>
  <bookViews>
    <workbookView xWindow="-108" yWindow="-108" windowWidth="23256" windowHeight="12456" activeTab="6" xr2:uid="{EAEA8D4F-C999-49E1-9CE1-C3FDCDEDD68E}"/>
  </bookViews>
  <sheets>
    <sheet name="preseed 135" sheetId="2" r:id="rId1"/>
    <sheet name="Seed 135" sheetId="3" r:id="rId2"/>
    <sheet name="Root 135" sheetId="1" r:id="rId3"/>
    <sheet name="Shoot 135" sheetId="4" r:id="rId4"/>
    <sheet name="135 class 3" sheetId="8" r:id="rId5"/>
    <sheet name="135 class 5" sheetId="9" r:id="rId6"/>
    <sheet name="135 class 6 " sheetId="5" r:id="rId7"/>
    <sheet name="135 class 9" sheetId="6" r:id="rId8"/>
  </sheets>
  <definedNames>
    <definedName name="_xlnm.Print_Area" localSheetId="0">'preseed 135'!$B$1:$AA$6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5" l="1"/>
  <c r="V2" i="5"/>
  <c r="U3" i="5"/>
  <c r="U2" i="5"/>
  <c r="T2" i="9"/>
  <c r="T3" i="9"/>
  <c r="U3" i="9" s="1" a="1"/>
  <c r="U3" i="9" s="1"/>
  <c r="V3" i="9" s="1" a="1"/>
  <c r="V3" i="9" s="1"/>
  <c r="S3" i="9"/>
  <c r="R3" i="9"/>
  <c r="S2" i="9"/>
  <c r="U2" i="9" s="1" a="1"/>
  <c r="U2" i="9" s="1"/>
  <c r="V2" i="9" s="1" a="1"/>
  <c r="V2" i="9" s="1"/>
  <c r="R2" i="9"/>
  <c r="V3" i="8" a="1"/>
  <c r="V3" i="8"/>
  <c r="V4" i="8" a="1"/>
  <c r="V4" i="8" s="1"/>
  <c r="V5" i="8" a="1"/>
  <c r="V5" i="8" s="1"/>
  <c r="U3" i="8" a="1"/>
  <c r="U3" i="8" s="1"/>
  <c r="U4" i="8" a="1"/>
  <c r="U4" i="8" s="1"/>
  <c r="U5" i="8" a="1"/>
  <c r="U5" i="8" s="1"/>
  <c r="T3" i="8"/>
  <c r="T4" i="8"/>
  <c r="T5" i="8"/>
  <c r="S3" i="8"/>
  <c r="S4" i="8"/>
  <c r="S5" i="8"/>
  <c r="J3" i="8"/>
  <c r="J4" i="8"/>
  <c r="J5" i="8"/>
  <c r="G2" i="8"/>
  <c r="G3" i="8"/>
  <c r="G4" i="8"/>
  <c r="G5" i="8"/>
  <c r="F5" i="8"/>
  <c r="F3" i="8"/>
  <c r="F4" i="8"/>
  <c r="D5" i="8"/>
  <c r="D3" i="8"/>
  <c r="D4" i="8"/>
  <c r="C5" i="8"/>
  <c r="C3" i="8"/>
  <c r="C4" i="8"/>
  <c r="I3" i="8"/>
  <c r="I4" i="8"/>
  <c r="I5" i="8"/>
  <c r="L3" i="8"/>
  <c r="L4" i="8"/>
  <c r="L5" i="8"/>
  <c r="M2" i="4"/>
  <c r="J2" i="4"/>
  <c r="G2" i="4"/>
  <c r="G3" i="4"/>
  <c r="G4" i="4"/>
  <c r="D2" i="4"/>
  <c r="D3" i="4"/>
  <c r="D4" i="4"/>
  <c r="S3" i="4"/>
  <c r="S4" i="4"/>
  <c r="R3" i="4"/>
  <c r="R4" i="4"/>
  <c r="R2" i="4"/>
  <c r="O3" i="4"/>
  <c r="O4" i="4"/>
  <c r="P3" i="4"/>
  <c r="P4" i="4"/>
  <c r="P2" i="4"/>
  <c r="O2" i="4"/>
  <c r="F3" i="4"/>
  <c r="F4" i="4"/>
  <c r="R6" i="8"/>
  <c r="D6" i="8"/>
  <c r="D7" i="8"/>
  <c r="D8" i="8"/>
  <c r="D9" i="8"/>
  <c r="G6" i="8"/>
  <c r="G7" i="8"/>
  <c r="G8" i="8"/>
  <c r="G9" i="8"/>
  <c r="J6" i="8"/>
  <c r="J7" i="8"/>
  <c r="J8" i="8"/>
  <c r="J9" i="8"/>
  <c r="M6" i="8"/>
  <c r="M7" i="8"/>
  <c r="M8" i="8"/>
  <c r="M9" i="8"/>
  <c r="O6" i="8"/>
  <c r="O7" i="8"/>
  <c r="O8" i="8"/>
  <c r="O9" i="8"/>
  <c r="P6" i="8"/>
  <c r="P7" i="8"/>
  <c r="P8" i="8"/>
  <c r="P9" i="8"/>
  <c r="I11" i="8"/>
  <c r="L11" i="8"/>
  <c r="D2" i="8"/>
  <c r="J2" i="8"/>
  <c r="P2" i="8"/>
  <c r="O2" i="8"/>
  <c r="A2" i="8"/>
  <c r="L10" i="8"/>
  <c r="I10" i="8"/>
  <c r="L9" i="8"/>
  <c r="I9" i="8"/>
  <c r="F9" i="8"/>
  <c r="C9" i="8"/>
  <c r="L8" i="8"/>
  <c r="I8" i="8"/>
  <c r="F8" i="8"/>
  <c r="C8" i="8"/>
  <c r="L7" i="8"/>
  <c r="I7" i="8"/>
  <c r="F7" i="8"/>
  <c r="C7" i="8"/>
  <c r="L6" i="8"/>
  <c r="I6" i="8"/>
  <c r="F6" i="8"/>
  <c r="C6" i="8"/>
  <c r="S2" i="8"/>
  <c r="T2" i="8" s="1"/>
  <c r="L2" i="8"/>
  <c r="I2" i="8"/>
  <c r="F2" i="8"/>
  <c r="C2" i="8"/>
  <c r="S2" i="4"/>
  <c r="C3" i="4"/>
  <c r="C4" i="4"/>
  <c r="C2" i="4"/>
  <c r="F2" i="4"/>
  <c r="I3" i="4"/>
  <c r="I4" i="4"/>
  <c r="I2" i="4"/>
  <c r="L3" i="4"/>
  <c r="L4" i="4"/>
  <c r="L2" i="4"/>
  <c r="A2" i="1"/>
  <c r="A3" i="1"/>
  <c r="A4" i="1"/>
  <c r="A5" i="1"/>
  <c r="A6" i="1"/>
  <c r="A7" i="1"/>
  <c r="A8" i="1"/>
  <c r="A9" i="1"/>
  <c r="A10" i="1"/>
  <c r="A11" i="1"/>
  <c r="A12" i="1"/>
  <c r="P3" i="1"/>
  <c r="P4" i="1"/>
  <c r="P5" i="1"/>
  <c r="P6" i="1"/>
  <c r="P7" i="1"/>
  <c r="P8" i="1"/>
  <c r="P9" i="1"/>
  <c r="P10" i="1"/>
  <c r="P11" i="1"/>
  <c r="P12" i="1"/>
  <c r="P2" i="1"/>
  <c r="L3" i="1"/>
  <c r="L4" i="1"/>
  <c r="L5" i="1"/>
  <c r="L6" i="1"/>
  <c r="L7" i="1"/>
  <c r="L8" i="1"/>
  <c r="L9" i="1"/>
  <c r="L10" i="1"/>
  <c r="L11" i="1"/>
  <c r="L12" i="1"/>
  <c r="L2" i="1"/>
  <c r="M3" i="1"/>
  <c r="M4" i="1"/>
  <c r="M5" i="1"/>
  <c r="M6" i="1"/>
  <c r="M7" i="1"/>
  <c r="M8" i="1"/>
  <c r="M9" i="1"/>
  <c r="M10" i="1"/>
  <c r="M11" i="1"/>
  <c r="M12" i="1"/>
  <c r="M2" i="1"/>
  <c r="D2" i="1"/>
  <c r="D3" i="1"/>
  <c r="D4" i="1"/>
  <c r="D5" i="1"/>
  <c r="D6" i="1"/>
  <c r="D7" i="1"/>
  <c r="D8" i="1"/>
  <c r="D9" i="1"/>
  <c r="D10" i="1"/>
  <c r="D11" i="1"/>
  <c r="D12" i="1"/>
  <c r="G12" i="1"/>
  <c r="G3" i="1"/>
  <c r="G4" i="1"/>
  <c r="G5" i="1"/>
  <c r="G6" i="1"/>
  <c r="G7" i="1"/>
  <c r="G8" i="1"/>
  <c r="G9" i="1"/>
  <c r="G10" i="1"/>
  <c r="G11" i="1"/>
  <c r="G2" i="1"/>
  <c r="J3" i="1"/>
  <c r="J4" i="1"/>
  <c r="J5" i="1"/>
  <c r="J6" i="1"/>
  <c r="J7" i="1"/>
  <c r="J8" i="1"/>
  <c r="J9" i="1"/>
  <c r="J10" i="1"/>
  <c r="J11" i="1"/>
  <c r="J12" i="1"/>
  <c r="J2" i="1"/>
  <c r="I3" i="1"/>
  <c r="I4" i="1"/>
  <c r="I5" i="1"/>
  <c r="I6" i="1"/>
  <c r="I7" i="1"/>
  <c r="I8" i="1"/>
  <c r="I9" i="1"/>
  <c r="I10" i="1"/>
  <c r="I11" i="1"/>
  <c r="I12" i="1"/>
  <c r="I2" i="1"/>
  <c r="C3" i="1"/>
  <c r="C4" i="1"/>
  <c r="C5" i="1"/>
  <c r="C6" i="1"/>
  <c r="C7" i="1"/>
  <c r="C8" i="1"/>
  <c r="C9" i="1"/>
  <c r="C10" i="1"/>
  <c r="C11" i="1"/>
  <c r="C12" i="1"/>
  <c r="C2" i="1"/>
  <c r="F3" i="1"/>
  <c r="F4" i="1"/>
  <c r="F5" i="1"/>
  <c r="F6" i="1"/>
  <c r="F7" i="1"/>
  <c r="F8" i="1"/>
  <c r="F9" i="1"/>
  <c r="F10" i="1"/>
  <c r="F11" i="1"/>
  <c r="F12" i="1"/>
  <c r="F2" i="1"/>
  <c r="X14" i="3"/>
  <c r="Z14" i="3" s="1"/>
  <c r="AA14" i="3" s="1" a="1"/>
  <c r="AA14" i="3" s="1"/>
  <c r="AB14" i="3" s="1" a="1"/>
  <c r="AB14" i="3" s="1"/>
  <c r="X3" i="3"/>
  <c r="Z3" i="3" s="1"/>
  <c r="AA3" i="3" s="1" a="1"/>
  <c r="AA3" i="3" s="1"/>
  <c r="AB3" i="3" s="1" a="1"/>
  <c r="AB3" i="3" s="1"/>
  <c r="X4" i="3"/>
  <c r="Z4" i="3" s="1"/>
  <c r="AA4" i="3" s="1" a="1"/>
  <c r="AA4" i="3" s="1"/>
  <c r="AB4" i="3" s="1" a="1"/>
  <c r="AB4" i="3" s="1"/>
  <c r="X5" i="3"/>
  <c r="X6" i="3"/>
  <c r="Z6" i="3" s="1"/>
  <c r="AA6" i="3" s="1" a="1"/>
  <c r="AA6" i="3" s="1"/>
  <c r="AB6" i="3" s="1" a="1"/>
  <c r="AB6" i="3" s="1"/>
  <c r="X7" i="3"/>
  <c r="X8" i="3"/>
  <c r="X9" i="3"/>
  <c r="Z9" i="3" s="1"/>
  <c r="AA9" i="3" s="1" a="1"/>
  <c r="AA9" i="3" s="1"/>
  <c r="AB9" i="3" s="1" a="1"/>
  <c r="AB9" i="3" s="1"/>
  <c r="X10" i="3"/>
  <c r="X11" i="3"/>
  <c r="Z11" i="3" s="1"/>
  <c r="AA11" i="3" s="1" a="1"/>
  <c r="AA11" i="3" s="1"/>
  <c r="AB11" i="3" s="1" a="1"/>
  <c r="AB11" i="3" s="1"/>
  <c r="X12" i="3"/>
  <c r="Z12" i="3" s="1"/>
  <c r="AA12" i="3" s="1" a="1"/>
  <c r="AA12" i="3" s="1"/>
  <c r="AB12" i="3" s="1" a="1"/>
  <c r="AB12" i="3" s="1"/>
  <c r="X13" i="3"/>
  <c r="Z5" i="3"/>
  <c r="AA5" i="3" s="1" a="1"/>
  <c r="AA5" i="3" s="1"/>
  <c r="AB5" i="3" s="1" a="1"/>
  <c r="AB5" i="3" s="1"/>
  <c r="Z7" i="3"/>
  <c r="AA7" i="3" s="1" a="1"/>
  <c r="AA7" i="3" s="1"/>
  <c r="AB7" i="3" s="1" a="1"/>
  <c r="AB7" i="3" s="1"/>
  <c r="Z8" i="3"/>
  <c r="AA8" i="3" s="1" a="1"/>
  <c r="AA8" i="3" s="1"/>
  <c r="AB8" i="3" s="1" a="1"/>
  <c r="AB8" i="3" s="1"/>
  <c r="Z10" i="3"/>
  <c r="AA10" i="3" s="1" a="1"/>
  <c r="AA10" i="3" s="1"/>
  <c r="AB10" i="3" s="1" a="1"/>
  <c r="AB10" i="3" s="1"/>
  <c r="Z13" i="3"/>
  <c r="AA13" i="3" s="1" a="1"/>
  <c r="AA13" i="3" s="1"/>
  <c r="AB13" i="3" s="1" a="1"/>
  <c r="AB13" i="3" s="1"/>
  <c r="Y14" i="3"/>
  <c r="Y13" i="3"/>
  <c r="Y12" i="3"/>
  <c r="Y11" i="3"/>
  <c r="Y10" i="3"/>
  <c r="J9" i="3"/>
  <c r="O14" i="3"/>
  <c r="O3" i="3"/>
  <c r="O4" i="3"/>
  <c r="O5" i="3"/>
  <c r="O6" i="3"/>
  <c r="O7" i="3"/>
  <c r="O8" i="3"/>
  <c r="O9" i="3"/>
  <c r="O10" i="3"/>
  <c r="O11" i="3"/>
  <c r="O12" i="3"/>
  <c r="O13" i="3"/>
  <c r="F14" i="3"/>
  <c r="I14" i="3"/>
  <c r="J14" i="3"/>
  <c r="L14" i="3"/>
  <c r="M14" i="3"/>
  <c r="P14" i="3"/>
  <c r="R14" i="3"/>
  <c r="S14" i="3"/>
  <c r="U14" i="3"/>
  <c r="V14" i="3"/>
  <c r="V2" i="3"/>
  <c r="V10" i="3"/>
  <c r="V11" i="3"/>
  <c r="V12" i="3"/>
  <c r="V13" i="3"/>
  <c r="V3" i="3"/>
  <c r="V4" i="3"/>
  <c r="V5" i="3"/>
  <c r="V6" i="3"/>
  <c r="V7" i="3"/>
  <c r="V8" i="3"/>
  <c r="V9" i="3"/>
  <c r="U10" i="3"/>
  <c r="U11" i="3"/>
  <c r="U12" i="3"/>
  <c r="U13" i="3"/>
  <c r="U3" i="3"/>
  <c r="U4" i="3"/>
  <c r="U5" i="3"/>
  <c r="U6" i="3"/>
  <c r="U7" i="3"/>
  <c r="U8" i="3"/>
  <c r="U9" i="3"/>
  <c r="U2" i="3"/>
  <c r="S10" i="3"/>
  <c r="S11" i="3"/>
  <c r="S12" i="3"/>
  <c r="S13" i="3"/>
  <c r="S3" i="3"/>
  <c r="S4" i="3"/>
  <c r="S5" i="3"/>
  <c r="S6" i="3"/>
  <c r="S7" i="3"/>
  <c r="S8" i="3"/>
  <c r="S9" i="3"/>
  <c r="S2" i="3"/>
  <c r="R10" i="3"/>
  <c r="R11" i="3"/>
  <c r="R12" i="3"/>
  <c r="R13" i="3"/>
  <c r="R3" i="3"/>
  <c r="R4" i="3"/>
  <c r="R5" i="3"/>
  <c r="R6" i="3"/>
  <c r="R7" i="3"/>
  <c r="R8" i="3"/>
  <c r="R9" i="3"/>
  <c r="R2" i="3"/>
  <c r="P10" i="3"/>
  <c r="P11" i="3"/>
  <c r="P12" i="3"/>
  <c r="P13" i="3"/>
  <c r="P3" i="3"/>
  <c r="P4" i="3"/>
  <c r="P5" i="3"/>
  <c r="P6" i="3"/>
  <c r="P7" i="3"/>
  <c r="P8" i="3"/>
  <c r="P9" i="3"/>
  <c r="P2" i="3"/>
  <c r="O2" i="3"/>
  <c r="M3" i="3"/>
  <c r="M4" i="3"/>
  <c r="M5" i="3"/>
  <c r="M6" i="3"/>
  <c r="M7" i="3"/>
  <c r="M8" i="3"/>
  <c r="M9" i="3"/>
  <c r="M10" i="3"/>
  <c r="M11" i="3"/>
  <c r="M12" i="3"/>
  <c r="M13" i="3"/>
  <c r="M2" i="3"/>
  <c r="L3" i="3"/>
  <c r="L4" i="3"/>
  <c r="L5" i="3"/>
  <c r="L6" i="3"/>
  <c r="L7" i="3"/>
  <c r="L8" i="3"/>
  <c r="L9" i="3"/>
  <c r="L10" i="3"/>
  <c r="L11" i="3"/>
  <c r="L12" i="3"/>
  <c r="L13" i="3"/>
  <c r="L2" i="3"/>
  <c r="J3" i="3"/>
  <c r="J4" i="3"/>
  <c r="J5" i="3"/>
  <c r="J6" i="3"/>
  <c r="J7" i="3"/>
  <c r="J10" i="3"/>
  <c r="J11" i="3"/>
  <c r="J12" i="3"/>
  <c r="J13" i="3"/>
  <c r="J2" i="3"/>
  <c r="I3" i="3"/>
  <c r="I4" i="3"/>
  <c r="I5" i="3"/>
  <c r="I6" i="3"/>
  <c r="I7" i="3"/>
  <c r="I8" i="3"/>
  <c r="I9" i="3"/>
  <c r="I10" i="3"/>
  <c r="I11" i="3"/>
  <c r="I12" i="3"/>
  <c r="I13" i="3"/>
  <c r="I2" i="3"/>
  <c r="G3" i="3"/>
  <c r="G4" i="3"/>
  <c r="G5" i="3"/>
  <c r="G6" i="3"/>
  <c r="G7" i="3"/>
  <c r="G8" i="3"/>
  <c r="G9" i="3"/>
  <c r="G10" i="3"/>
  <c r="G11" i="3"/>
  <c r="G12" i="3"/>
  <c r="G13" i="3"/>
  <c r="G2" i="3"/>
  <c r="D3" i="3"/>
  <c r="D4" i="3"/>
  <c r="D5" i="3"/>
  <c r="D6" i="3"/>
  <c r="D7" i="3"/>
  <c r="D8" i="3"/>
  <c r="D9" i="3"/>
  <c r="D10" i="3"/>
  <c r="D11" i="3"/>
  <c r="D12" i="3"/>
  <c r="D13" i="3"/>
  <c r="D2" i="3"/>
  <c r="F13" i="3"/>
  <c r="F12" i="3"/>
  <c r="F11" i="3"/>
  <c r="F10" i="3"/>
  <c r="F9" i="3"/>
  <c r="F8" i="3"/>
  <c r="F7" i="3"/>
  <c r="F6" i="3"/>
  <c r="F5" i="3"/>
  <c r="F4" i="3"/>
  <c r="F3" i="3"/>
  <c r="F2" i="3"/>
  <c r="C3" i="3"/>
  <c r="C4" i="3"/>
  <c r="C5" i="3"/>
  <c r="C6" i="3"/>
  <c r="C7" i="3"/>
  <c r="C8" i="3"/>
  <c r="C9" i="3"/>
  <c r="C10" i="3"/>
  <c r="C11" i="3"/>
  <c r="C12" i="3"/>
  <c r="C13" i="3"/>
  <c r="C2" i="3"/>
  <c r="AB3" i="2" a="1"/>
  <c r="AB3" i="2" s="1"/>
  <c r="AB4" i="2" a="1"/>
  <c r="AB4" i="2" s="1"/>
  <c r="AB5" i="2" a="1"/>
  <c r="AB5" i="2" s="1"/>
  <c r="AB6" i="2" a="1"/>
  <c r="AB6" i="2" s="1"/>
  <c r="AB7" i="2" a="1"/>
  <c r="AB7" i="2" s="1"/>
  <c r="AB8" i="2" a="1"/>
  <c r="AB8" i="2" s="1"/>
  <c r="AB9" i="2" a="1"/>
  <c r="AB9" i="2" s="1"/>
  <c r="AB10" i="2" a="1"/>
  <c r="AB10" i="2" s="1"/>
  <c r="AB11" i="2" a="1"/>
  <c r="AB11" i="2" s="1"/>
  <c r="AB12" i="2" a="1"/>
  <c r="AB12" i="2" s="1"/>
  <c r="AB13" i="2" a="1"/>
  <c r="AB13" i="2" s="1"/>
  <c r="AB14" i="2" a="1"/>
  <c r="AB14" i="2" s="1"/>
  <c r="AB15" i="2" a="1"/>
  <c r="AB15" i="2" s="1"/>
  <c r="AB16" i="2" a="1"/>
  <c r="AB16" i="2" s="1"/>
  <c r="AB17" i="2" a="1"/>
  <c r="AB17" i="2" s="1"/>
  <c r="AB18" i="2" a="1"/>
  <c r="AB18" i="2" s="1"/>
  <c r="AB19" i="2" a="1"/>
  <c r="AB19" i="2" s="1"/>
  <c r="AB20" i="2" a="1"/>
  <c r="AB20" i="2" s="1"/>
  <c r="AB21" i="2" a="1"/>
  <c r="AB21" i="2" s="1"/>
  <c r="AB22" i="2" a="1"/>
  <c r="AB22" i="2" s="1"/>
  <c r="AB23" i="2" a="1"/>
  <c r="AB23" i="2" s="1"/>
  <c r="AB24" i="2" a="1"/>
  <c r="AB24" i="2" s="1"/>
  <c r="AB25" i="2" a="1"/>
  <c r="AB25" i="2" s="1"/>
  <c r="AB26" i="2" a="1"/>
  <c r="AB26" i="2" s="1"/>
  <c r="AB27" i="2" a="1"/>
  <c r="AB27" i="2" s="1"/>
  <c r="AB28" i="2" a="1"/>
  <c r="AB28" i="2" s="1"/>
  <c r="AB29" i="2" a="1"/>
  <c r="AB29" i="2" s="1"/>
  <c r="AB30" i="2" a="1"/>
  <c r="AB30" i="2" s="1"/>
  <c r="AB31" i="2" a="1"/>
  <c r="AB31" i="2" s="1"/>
  <c r="AB32" i="2" a="1"/>
  <c r="AB32" i="2" s="1"/>
  <c r="AB33" i="2" a="1"/>
  <c r="AB33" i="2" s="1"/>
  <c r="AB34" i="2" a="1"/>
  <c r="AB34" i="2" s="1"/>
  <c r="AB35" i="2" a="1"/>
  <c r="AB35" i="2" s="1"/>
  <c r="AB36" i="2" a="1"/>
  <c r="AB36" i="2" s="1"/>
  <c r="AB37" i="2" a="1"/>
  <c r="AB37" i="2" s="1"/>
  <c r="AB38" i="2" a="1"/>
  <c r="AB38" i="2" s="1"/>
  <c r="AB39" i="2" a="1"/>
  <c r="AB39" i="2" s="1"/>
  <c r="AB40" i="2" a="1"/>
  <c r="AB40" i="2" s="1"/>
  <c r="AB41" i="2" a="1"/>
  <c r="AB41" i="2" s="1"/>
  <c r="AB42" i="2" a="1"/>
  <c r="AB42" i="2" s="1"/>
  <c r="AB43" i="2" a="1"/>
  <c r="AB43" i="2" s="1"/>
  <c r="AB44" i="2" a="1"/>
  <c r="AB44" i="2" s="1"/>
  <c r="AB45" i="2" a="1"/>
  <c r="AB45" i="2" s="1"/>
  <c r="AB46" i="2" a="1"/>
  <c r="AB46" i="2" s="1"/>
  <c r="AB47" i="2" a="1"/>
  <c r="AB47" i="2" s="1"/>
  <c r="AB48" i="2" a="1"/>
  <c r="AB48" i="2" s="1"/>
  <c r="AB49" i="2" a="1"/>
  <c r="AB49" i="2" s="1"/>
  <c r="AB50" i="2" a="1"/>
  <c r="AB50" i="2" s="1"/>
  <c r="AB51" i="2" a="1"/>
  <c r="AB51" i="2" s="1"/>
  <c r="AB52" i="2" a="1"/>
  <c r="AB52" i="2" s="1"/>
  <c r="AB53" i="2" a="1"/>
  <c r="AB53" i="2" s="1"/>
  <c r="AB54" i="2" a="1"/>
  <c r="AB54" i="2" s="1"/>
  <c r="AB55" i="2" a="1"/>
  <c r="AB55" i="2" s="1"/>
  <c r="AB56" i="2" a="1"/>
  <c r="AB56" i="2" s="1"/>
  <c r="AB57" i="2" a="1"/>
  <c r="AB57" i="2" s="1"/>
  <c r="AB58" i="2" a="1"/>
  <c r="AB58" i="2" s="1"/>
  <c r="AB59" i="2" a="1"/>
  <c r="AB59" i="2" s="1"/>
  <c r="AB60" i="2" a="1"/>
  <c r="AB60" i="2" s="1"/>
  <c r="AB61" i="2" a="1"/>
  <c r="AB61" i="2" s="1"/>
  <c r="AB62" i="2" a="1"/>
  <c r="AB62" i="2" s="1"/>
  <c r="AB63" i="2" a="1"/>
  <c r="AB63" i="2" s="1"/>
  <c r="AB64" i="2" a="1"/>
  <c r="AB64" i="2" s="1"/>
  <c r="AB65" i="2" a="1"/>
  <c r="AB65" i="2" s="1"/>
  <c r="AB66" i="2" a="1"/>
  <c r="AB66" i="2" s="1"/>
  <c r="AB67" i="2" a="1"/>
  <c r="AB67" i="2" s="1"/>
  <c r="AB68" i="2" a="1"/>
  <c r="AB68" i="2" s="1"/>
  <c r="AB69" i="2" a="1"/>
  <c r="AB69" i="2" s="1"/>
  <c r="AB70" i="2" a="1"/>
  <c r="AB70" i="2" s="1"/>
  <c r="AB71" i="2" a="1"/>
  <c r="AB71" i="2" s="1"/>
  <c r="AB72" i="2" a="1"/>
  <c r="AB72" i="2" s="1"/>
  <c r="AB73" i="2" a="1"/>
  <c r="AB73" i="2" s="1"/>
  <c r="AB74" i="2" a="1"/>
  <c r="AB74" i="2" s="1"/>
  <c r="AB75" i="2" a="1"/>
  <c r="AB75" i="2" s="1"/>
  <c r="AB76" i="2" a="1"/>
  <c r="AB76" i="2" s="1"/>
  <c r="AB77" i="2" a="1"/>
  <c r="AB77" i="2" s="1"/>
  <c r="AB78" i="2" a="1"/>
  <c r="AB78" i="2" s="1"/>
  <c r="AB79" i="2" a="1"/>
  <c r="AB79" i="2" s="1"/>
  <c r="AB80" i="2" a="1"/>
  <c r="AB80" i="2" s="1"/>
  <c r="AB81" i="2" a="1"/>
  <c r="AB81" i="2" s="1"/>
  <c r="AB82" i="2" a="1"/>
  <c r="AB82" i="2" s="1"/>
  <c r="AB83" i="2" a="1"/>
  <c r="AB83" i="2" s="1"/>
  <c r="AB84" i="2" a="1"/>
  <c r="AB84" i="2" s="1"/>
  <c r="AB85" i="2" a="1"/>
  <c r="AB85" i="2" s="1"/>
  <c r="AB86" i="2" a="1"/>
  <c r="AB86" i="2" s="1"/>
  <c r="AB87" i="2" a="1"/>
  <c r="AB87" i="2" s="1"/>
  <c r="AB88" i="2" a="1"/>
  <c r="AB88" i="2" s="1"/>
  <c r="AB89" i="2" a="1"/>
  <c r="AB89" i="2" s="1"/>
  <c r="AB90" i="2" a="1"/>
  <c r="AB90" i="2" s="1"/>
  <c r="AB91" i="2" a="1"/>
  <c r="AB91" i="2" s="1"/>
  <c r="AB92" i="2" a="1"/>
  <c r="AB92" i="2" s="1"/>
  <c r="AB93" i="2" a="1"/>
  <c r="AB93" i="2" s="1"/>
  <c r="AB94" i="2" a="1"/>
  <c r="AB94" i="2" s="1"/>
  <c r="AB95" i="2" a="1"/>
  <c r="AB95" i="2" s="1"/>
  <c r="AB96" i="2" a="1"/>
  <c r="AB96" i="2" s="1"/>
  <c r="AB97" i="2" a="1"/>
  <c r="AB97" i="2" s="1"/>
  <c r="AB98" i="2" a="1"/>
  <c r="AB98" i="2" s="1"/>
  <c r="AB99" i="2" a="1"/>
  <c r="AB99" i="2" s="1"/>
  <c r="AB100" i="2" a="1"/>
  <c r="AB100" i="2" s="1"/>
  <c r="AB101" i="2" a="1"/>
  <c r="AB101" i="2" s="1"/>
  <c r="AB102" i="2" a="1"/>
  <c r="AB102" i="2" s="1"/>
  <c r="AB103" i="2" a="1"/>
  <c r="AB103" i="2" s="1"/>
  <c r="AB104" i="2" a="1"/>
  <c r="AB104" i="2" s="1"/>
  <c r="AB105" i="2" a="1"/>
  <c r="AB105" i="2" s="1"/>
  <c r="AB106" i="2" a="1"/>
  <c r="AB106" i="2" s="1"/>
  <c r="AB107" i="2" a="1"/>
  <c r="AB107" i="2" s="1"/>
  <c r="AB108" i="2" a="1"/>
  <c r="AB108" i="2" s="1"/>
  <c r="AB109" i="2" a="1"/>
  <c r="AB109" i="2" s="1"/>
  <c r="AB110" i="2" a="1"/>
  <c r="AB110" i="2" s="1"/>
  <c r="AB111" i="2" a="1"/>
  <c r="AB111" i="2" s="1"/>
  <c r="AB112" i="2" a="1"/>
  <c r="AB112" i="2" s="1"/>
  <c r="AB113" i="2" a="1"/>
  <c r="AB113" i="2" s="1"/>
  <c r="AB114" i="2" a="1"/>
  <c r="AB114" i="2" s="1"/>
  <c r="AB115" i="2" a="1"/>
  <c r="AB115" i="2" s="1"/>
  <c r="AB116" i="2" a="1"/>
  <c r="AB116" i="2" s="1"/>
  <c r="AB117" i="2" a="1"/>
  <c r="AB117" i="2" s="1"/>
  <c r="AB118" i="2" a="1"/>
  <c r="AB118" i="2" s="1"/>
  <c r="AB119" i="2" a="1"/>
  <c r="AB119" i="2" s="1"/>
  <c r="AB120" i="2" a="1"/>
  <c r="AB120" i="2" s="1"/>
  <c r="AB121" i="2" a="1"/>
  <c r="AB121" i="2" s="1"/>
  <c r="AB122" i="2" a="1"/>
  <c r="AB122" i="2" s="1"/>
  <c r="AB123" i="2" a="1"/>
  <c r="AB123" i="2" s="1"/>
  <c r="AB124" i="2" a="1"/>
  <c r="AB124" i="2" s="1"/>
  <c r="AB125" i="2" a="1"/>
  <c r="AB125" i="2" s="1"/>
  <c r="AB126" i="2" a="1"/>
  <c r="AB126" i="2" s="1"/>
  <c r="AB127" i="2" a="1"/>
  <c r="AB127" i="2" s="1"/>
  <c r="AB128" i="2" a="1"/>
  <c r="AB128" i="2" s="1"/>
  <c r="AB129" i="2" a="1"/>
  <c r="AB129" i="2" s="1"/>
  <c r="AB130" i="2" a="1"/>
  <c r="AB130" i="2" s="1"/>
  <c r="AB131" i="2" a="1"/>
  <c r="AB131" i="2" s="1"/>
  <c r="AB132" i="2" a="1"/>
  <c r="AB132" i="2" s="1"/>
  <c r="AB133" i="2" a="1"/>
  <c r="AB133" i="2" s="1"/>
  <c r="AB134" i="2" a="1"/>
  <c r="AB134" i="2" s="1"/>
  <c r="AB135" i="2" a="1"/>
  <c r="AB135" i="2" s="1"/>
  <c r="AB136" i="2" a="1"/>
  <c r="AB136" i="2" s="1"/>
  <c r="AB137" i="2" a="1"/>
  <c r="AB137" i="2" s="1"/>
  <c r="AB138" i="2" a="1"/>
  <c r="AB138" i="2" s="1"/>
  <c r="AB139" i="2" a="1"/>
  <c r="AB139" i="2" s="1"/>
  <c r="AB140" i="2" a="1"/>
  <c r="AB140" i="2" s="1"/>
  <c r="AB141" i="2" a="1"/>
  <c r="AB141" i="2" s="1"/>
  <c r="AB142" i="2" a="1"/>
  <c r="AB142" i="2" s="1"/>
  <c r="AB143" i="2" a="1"/>
  <c r="AB143" i="2" s="1"/>
  <c r="AB144" i="2" a="1"/>
  <c r="AB144" i="2" s="1"/>
  <c r="AB145" i="2" a="1"/>
  <c r="AB145" i="2" s="1"/>
  <c r="AB146" i="2" a="1"/>
  <c r="AB146" i="2" s="1"/>
  <c r="AB147" i="2" a="1"/>
  <c r="AB147" i="2" s="1"/>
  <c r="AB148" i="2" a="1"/>
  <c r="AB148" i="2" s="1"/>
  <c r="AB149" i="2" a="1"/>
  <c r="AB149" i="2" s="1"/>
  <c r="AB150" i="2" a="1"/>
  <c r="AB150" i="2" s="1"/>
  <c r="AB151" i="2" a="1"/>
  <c r="AB151" i="2" s="1"/>
  <c r="AB152" i="2" a="1"/>
  <c r="AB152" i="2" s="1"/>
  <c r="AB153" i="2" a="1"/>
  <c r="AB153" i="2" s="1"/>
  <c r="AB154" i="2" a="1"/>
  <c r="AB154" i="2" s="1"/>
  <c r="AB155" i="2" a="1"/>
  <c r="AB155" i="2" s="1"/>
  <c r="AB156" i="2" a="1"/>
  <c r="AB156" i="2" s="1"/>
  <c r="AB157" i="2" a="1"/>
  <c r="AB157" i="2" s="1"/>
  <c r="AB158" i="2" a="1"/>
  <c r="AB158" i="2" s="1"/>
  <c r="AB159" i="2" a="1"/>
  <c r="AB159" i="2" s="1"/>
  <c r="AB160" i="2" a="1"/>
  <c r="AB160" i="2" s="1"/>
  <c r="AB161" i="2" a="1"/>
  <c r="AB161" i="2" s="1"/>
  <c r="AB162" i="2" a="1"/>
  <c r="AB162" i="2" s="1"/>
  <c r="AB163" i="2" a="1"/>
  <c r="AB163" i="2" s="1"/>
  <c r="AB164" i="2" a="1"/>
  <c r="AB164" i="2" s="1"/>
  <c r="AB165" i="2" a="1"/>
  <c r="AB165" i="2" s="1"/>
  <c r="AB166" i="2" a="1"/>
  <c r="AB166" i="2" s="1"/>
  <c r="AB167" i="2" a="1"/>
  <c r="AB167" i="2" s="1"/>
  <c r="AB168" i="2" a="1"/>
  <c r="AB168" i="2" s="1"/>
  <c r="AB169" i="2" a="1"/>
  <c r="AB169" i="2" s="1"/>
  <c r="AB170" i="2" a="1"/>
  <c r="AB170" i="2" s="1"/>
  <c r="AB171" i="2" a="1"/>
  <c r="AB171" i="2" s="1"/>
  <c r="AB172" i="2" a="1"/>
  <c r="AB172" i="2" s="1"/>
  <c r="AB173" i="2" a="1"/>
  <c r="AB173" i="2" s="1"/>
  <c r="AB174" i="2" a="1"/>
  <c r="AB174" i="2" s="1"/>
  <c r="AB175" i="2" a="1"/>
  <c r="AB175" i="2" s="1"/>
  <c r="AB176" i="2" a="1"/>
  <c r="AB176" i="2" s="1"/>
  <c r="AB177" i="2" a="1"/>
  <c r="AB177" i="2" s="1"/>
  <c r="AB178" i="2" a="1"/>
  <c r="AB178" i="2" s="1"/>
  <c r="AB179" i="2" a="1"/>
  <c r="AB179" i="2" s="1"/>
  <c r="AB180" i="2" a="1"/>
  <c r="AB180" i="2" s="1"/>
  <c r="AB181" i="2" a="1"/>
  <c r="AB181" i="2" s="1"/>
  <c r="AB182" i="2" a="1"/>
  <c r="AB182" i="2" s="1"/>
  <c r="AB183" i="2" a="1"/>
  <c r="AB183" i="2" s="1"/>
  <c r="AB184" i="2" a="1"/>
  <c r="AB184" i="2" s="1"/>
  <c r="AB185" i="2" a="1"/>
  <c r="AB185" i="2" s="1"/>
  <c r="AB186" i="2" a="1"/>
  <c r="AB186" i="2" s="1"/>
  <c r="AB187" i="2" a="1"/>
  <c r="AB187" i="2" s="1"/>
  <c r="AB188" i="2" a="1"/>
  <c r="AB188" i="2" s="1"/>
  <c r="AB189" i="2" a="1"/>
  <c r="AB189" i="2" s="1"/>
  <c r="AB190" i="2" a="1"/>
  <c r="AB190" i="2" s="1"/>
  <c r="AB191" i="2" a="1"/>
  <c r="AB191" i="2" s="1"/>
  <c r="AB192" i="2" a="1"/>
  <c r="AB192" i="2" s="1"/>
  <c r="AB2" i="2" a="1"/>
  <c r="AB2" i="2" s="1"/>
  <c r="Y11" i="2"/>
  <c r="Z11" i="2" s="1"/>
  <c r="AA11" i="2" s="1" a="1"/>
  <c r="AA11" i="2" s="1"/>
  <c r="Y10" i="2"/>
  <c r="Z10" i="2" s="1"/>
  <c r="AA10" i="2" s="1" a="1"/>
  <c r="AA10" i="2" s="1"/>
  <c r="Y9" i="2"/>
  <c r="Z9" i="2" s="1"/>
  <c r="AA9" i="2" s="1" a="1"/>
  <c r="AA9" i="2" s="1"/>
  <c r="Y8" i="2"/>
  <c r="Z8" i="2" s="1"/>
  <c r="AA8" i="2" s="1" a="1"/>
  <c r="AA8" i="2" s="1"/>
  <c r="Y7" i="2"/>
  <c r="Z7" i="2"/>
  <c r="AA7" i="2" s="1" a="1"/>
  <c r="AA7" i="2" s="1"/>
  <c r="X11" i="2"/>
  <c r="X10" i="2"/>
  <c r="X9" i="2"/>
  <c r="X8" i="2"/>
  <c r="X7" i="2"/>
  <c r="X2" i="2"/>
  <c r="Y2" i="2"/>
  <c r="X3" i="2"/>
  <c r="Y3" i="2"/>
  <c r="X4" i="2"/>
  <c r="Y4" i="2"/>
  <c r="X5" i="2"/>
  <c r="Y5" i="2"/>
  <c r="X6" i="2"/>
  <c r="Y6" i="2"/>
  <c r="Y3" i="3"/>
  <c r="Y4" i="3"/>
  <c r="Y5" i="3"/>
  <c r="Y6" i="3"/>
  <c r="Y7" i="3"/>
  <c r="Y8" i="3"/>
  <c r="Y9" i="3"/>
  <c r="Y2" i="3"/>
  <c r="T2" i="6"/>
  <c r="S2" i="6"/>
  <c r="T4" i="4" l="1"/>
  <c r="U4" i="4" s="1" a="1"/>
  <c r="U4" i="4" s="1"/>
  <c r="V4" i="4" s="1" a="1"/>
  <c r="V4" i="4" s="1"/>
  <c r="T3" i="4"/>
  <c r="U3" i="4" s="1" a="1"/>
  <c r="U3" i="4" s="1"/>
  <c r="V3" i="4" s="1" a="1"/>
  <c r="V3" i="4" s="1"/>
  <c r="U2" i="6"/>
  <c r="V2" i="6" s="1" a="1"/>
  <c r="V2" i="6" s="1"/>
  <c r="W2" i="6" s="1" a="1"/>
  <c r="W2" i="6" s="1"/>
  <c r="W3" i="5"/>
  <c r="X3" i="5" s="1" a="1"/>
  <c r="X3" i="5" s="1"/>
  <c r="Y3" i="5" s="1" a="1"/>
  <c r="Y3" i="5" s="1"/>
  <c r="U2" i="8" a="1"/>
  <c r="U2" i="8" s="1"/>
  <c r="T2" i="4"/>
  <c r="U2" i="4" s="1" a="1"/>
  <c r="U2" i="4" s="1"/>
  <c r="V2" i="4" s="1" a="1"/>
  <c r="V2" i="4" s="1"/>
  <c r="Q7" i="1"/>
  <c r="Q8" i="1"/>
  <c r="Q11" i="1"/>
  <c r="Q3" i="1"/>
  <c r="Q9" i="1"/>
  <c r="Q2" i="1"/>
  <c r="R2" i="1" s="1" a="1"/>
  <c r="R2" i="1" s="1"/>
  <c r="S2" i="1" s="1" a="1"/>
  <c r="S2" i="1" s="1"/>
  <c r="Q5" i="1"/>
  <c r="Q10" i="1"/>
  <c r="Q12" i="1"/>
  <c r="Q6" i="1"/>
  <c r="Q4" i="1"/>
  <c r="X2" i="3"/>
  <c r="Z2" i="3" s="1"/>
  <c r="AA2" i="3" s="1" a="1"/>
  <c r="AA2" i="3" s="1"/>
  <c r="AB2" i="3" s="1" a="1"/>
  <c r="AB2" i="3" s="1"/>
  <c r="Z6" i="2"/>
  <c r="AA6" i="2" s="1" a="1"/>
  <c r="AA6" i="2" s="1"/>
  <c r="Z5" i="2"/>
  <c r="AA5" i="2" s="1" a="1"/>
  <c r="AA5" i="2" s="1"/>
  <c r="Z4" i="2"/>
  <c r="AA4" i="2" s="1" a="1"/>
  <c r="AA4" i="2" s="1"/>
  <c r="Z3" i="2"/>
  <c r="AA3" i="2" s="1" a="1"/>
  <c r="AA3" i="2" s="1"/>
  <c r="Z2" i="2"/>
  <c r="AA2" i="2" s="1" a="1"/>
  <c r="AA2" i="2" s="1"/>
  <c r="W2" i="5"/>
  <c r="X2" i="5" s="1" a="1"/>
  <c r="X2" i="5" s="1"/>
  <c r="Y2" i="5" s="1" a="1"/>
  <c r="Y2" i="5" s="1"/>
  <c r="R7" i="1" l="1" a="1"/>
  <c r="R7" i="1" s="1"/>
  <c r="S7" i="1" s="1" a="1"/>
  <c r="S7" i="1" s="1"/>
  <c r="R9" i="1" a="1"/>
  <c r="R9" i="1" s="1"/>
  <c r="S9" i="1" s="1" a="1"/>
  <c r="S9" i="1" s="1"/>
  <c r="R10" i="1" a="1"/>
  <c r="R10" i="1" s="1"/>
  <c r="S10" i="1" s="1" a="1"/>
  <c r="S10" i="1" s="1"/>
  <c r="R11" i="1" a="1"/>
  <c r="R11" i="1" s="1"/>
  <c r="S11" i="1" s="1" a="1"/>
  <c r="S11" i="1" s="1"/>
  <c r="R8" i="1" a="1"/>
  <c r="R8" i="1" s="1"/>
  <c r="S8" i="1" s="1" a="1"/>
  <c r="S8" i="1" s="1"/>
  <c r="R4" i="1" a="1"/>
  <c r="R4" i="1" s="1"/>
  <c r="S4" i="1" s="1" a="1"/>
  <c r="S4" i="1" s="1"/>
  <c r="R5" i="1" a="1"/>
  <c r="R5" i="1" s="1"/>
  <c r="S5" i="1" s="1" a="1"/>
  <c r="S5" i="1" s="1"/>
  <c r="R12" i="1" a="1"/>
  <c r="R12" i="1" s="1"/>
  <c r="S12" i="1" s="1" a="1"/>
  <c r="S12" i="1" s="1"/>
  <c r="R3" i="1" a="1"/>
  <c r="R3" i="1" s="1"/>
  <c r="S3" i="1" s="1" a="1"/>
  <c r="S3" i="1" s="1"/>
  <c r="R6" i="1" a="1"/>
  <c r="R6" i="1" s="1"/>
  <c r="S6" i="1" s="1" a="1"/>
  <c r="S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<sst xmlns="http://schemas.openxmlformats.org/spreadsheetml/2006/main" count="337" uniqueCount="96">
  <si>
    <t>S. No-</t>
  </si>
  <si>
    <t>English written</t>
  </si>
  <si>
    <t xml:space="preserve">English oral </t>
  </si>
  <si>
    <t xml:space="preserve">Math Written </t>
  </si>
  <si>
    <t xml:space="preserve">Math oral </t>
  </si>
  <si>
    <t xml:space="preserve">Genaral Knowledge </t>
  </si>
  <si>
    <t>Hindi written</t>
  </si>
  <si>
    <t>Hindi oral</t>
  </si>
  <si>
    <t>Md. Kaif</t>
  </si>
  <si>
    <t>Name</t>
  </si>
  <si>
    <t>Subject</t>
  </si>
  <si>
    <t>Total Marks</t>
  </si>
  <si>
    <t>Marks Obtained</t>
  </si>
  <si>
    <t>Overall 
Total Marks</t>
  </si>
  <si>
    <t>Overall Marks 
Obtained</t>
  </si>
  <si>
    <t>Overall 
Percent</t>
  </si>
  <si>
    <t>Grade</t>
  </si>
  <si>
    <t>Remarks</t>
  </si>
  <si>
    <t>English oral</t>
  </si>
  <si>
    <t>Internal 
Assessment</t>
  </si>
  <si>
    <t xml:space="preserve">Overall Marks </t>
  </si>
  <si>
    <t>Rashmi</t>
  </si>
  <si>
    <t>Math</t>
  </si>
  <si>
    <t>English</t>
  </si>
  <si>
    <t>Hindi</t>
  </si>
  <si>
    <t>Sandhya</t>
  </si>
  <si>
    <t>S. NO-</t>
  </si>
  <si>
    <t>Social science</t>
  </si>
  <si>
    <t>Science</t>
  </si>
  <si>
    <t>Overall Total</t>
  </si>
  <si>
    <t>Overall Marks Obtained</t>
  </si>
  <si>
    <t>Percent</t>
  </si>
  <si>
    <t>Rishu</t>
  </si>
  <si>
    <t>Golu</t>
  </si>
  <si>
    <t>khushi</t>
  </si>
  <si>
    <t>Pawan</t>
  </si>
  <si>
    <t>Sahib</t>
  </si>
  <si>
    <t>Ekta</t>
  </si>
  <si>
    <t>Rifa</t>
  </si>
  <si>
    <t>Akhil</t>
  </si>
  <si>
    <t>Vishant</t>
  </si>
  <si>
    <t>Ritu</t>
  </si>
  <si>
    <t>Ejaz</t>
  </si>
  <si>
    <t>Keshwati</t>
  </si>
  <si>
    <t>Manvi</t>
  </si>
  <si>
    <t>Priyanka</t>
  </si>
  <si>
    <t>Priyanshi</t>
  </si>
  <si>
    <t>Shahnawaz</t>
  </si>
  <si>
    <t>Satyam</t>
  </si>
  <si>
    <t>Sona</t>
  </si>
  <si>
    <t>Yuvraj</t>
  </si>
  <si>
    <t>Ayush</t>
  </si>
  <si>
    <t>Aniket</t>
  </si>
  <si>
    <t>Sonakshi</t>
  </si>
  <si>
    <t>Sudhyanshi</t>
  </si>
  <si>
    <t>Marriyam</t>
  </si>
  <si>
    <t>Ayan</t>
  </si>
  <si>
    <t>Radhika</t>
  </si>
  <si>
    <t>Amrita</t>
  </si>
  <si>
    <t>Dev</t>
  </si>
  <si>
    <t>Saima</t>
  </si>
  <si>
    <t>Sahil</t>
  </si>
  <si>
    <t>Sunita</t>
  </si>
  <si>
    <t>Sonu</t>
  </si>
  <si>
    <t>Subject2</t>
  </si>
  <si>
    <t>Total Marks3</t>
  </si>
  <si>
    <t>Marks Obtained4</t>
  </si>
  <si>
    <t>Total Marks6</t>
  </si>
  <si>
    <t>Total Marks9</t>
  </si>
  <si>
    <t>Subject3</t>
  </si>
  <si>
    <t>Subject4</t>
  </si>
  <si>
    <t>Marks Obtained2</t>
  </si>
  <si>
    <t>Marks Obtained3</t>
  </si>
  <si>
    <t>Computer</t>
  </si>
  <si>
    <t>subject5</t>
  </si>
  <si>
    <t>Marks Obtained7</t>
  </si>
  <si>
    <t>Subject10</t>
  </si>
  <si>
    <t>Total Marks11</t>
  </si>
  <si>
    <t>Marks Obtained12</t>
  </si>
  <si>
    <t>Subject13</t>
  </si>
  <si>
    <t>Total Marks14</t>
  </si>
  <si>
    <t>Marks Obtained15</t>
  </si>
  <si>
    <t>Amisha</t>
  </si>
  <si>
    <t>Vikas</t>
  </si>
  <si>
    <t>Sandhya Mishra</t>
  </si>
  <si>
    <t>Kajal Anuragi</t>
  </si>
  <si>
    <t>EVS</t>
  </si>
  <si>
    <t>Sakina</t>
  </si>
  <si>
    <t>Yogesh</t>
  </si>
  <si>
    <t>Dushyant Mishra</t>
  </si>
  <si>
    <r>
      <t>N</t>
    </r>
    <r>
      <rPr>
        <b/>
        <sz val="11"/>
        <color theme="1"/>
        <rFont val="Aptos Narrow"/>
        <family val="2"/>
        <scheme val="minor"/>
      </rPr>
      <t>ame</t>
    </r>
  </si>
  <si>
    <t>PriyaMaurya</t>
  </si>
  <si>
    <t>s</t>
  </si>
  <si>
    <t>Akash</t>
  </si>
  <si>
    <t>Dhanajay</t>
  </si>
  <si>
    <t>Social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</si>
</sst>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6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8FBE8-A91E-40A8-AB0B-0760A5ECE65F}" name="Table1" displayName="Table1" ref="A1:S12" totalsRowShown="0" headerRowDxfId="68" dataDxfId="67">
  <autoFilter ref="A1:S12" xr:uid="{9CC8FBE8-A91E-40A8-AB0B-0760A5ECE6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2BBE5F59-2E61-4B5E-A900-C788D57B5487}" name="S. No-" dataDxfId="66">
      <calculatedColumnFormula>ROW(A2)-1</calculatedColumnFormula>
    </tableColumn>
    <tableColumn id="2" xr3:uid="{B9C0C00F-3A35-4978-B08D-C20D3ACAD399}" name="Name" dataDxfId="65"/>
    <tableColumn id="3" xr3:uid="{A8118EC8-AD31-47A5-83A6-D295B7A51469}" name="Subject" dataDxfId="64">
      <calculatedColumnFormula>IF(ISBLANK(B2),"","Hindi")</calculatedColumnFormula>
    </tableColumn>
    <tableColumn id="4" xr3:uid="{4960C0E8-D02C-45D7-B49A-89B9E8840559}" name="Total Marks" dataDxfId="63">
      <calculatedColumnFormula>IF(ISBLANK(B2),"",100)</calculatedColumnFormula>
    </tableColumn>
    <tableColumn id="5" xr3:uid="{62C00FB6-7CE2-4827-86F5-0157C46DECBC}" name="Marks Obtained" dataDxfId="62"/>
    <tableColumn id="6" xr3:uid="{C7292E4E-848E-4AB7-80CC-31768755F46A}" name="Subject2" dataDxfId="61">
      <calculatedColumnFormula>IF(ISBLANK(B2),"","English")</calculatedColumnFormula>
    </tableColumn>
    <tableColumn id="7" xr3:uid="{AADC6F1C-C621-49A1-B45F-1759CB078875}" name="Total Marks3" dataDxfId="60">
      <calculatedColumnFormula>IF(ISBLANK(B2),"",100)</calculatedColumnFormula>
    </tableColumn>
    <tableColumn id="8" xr3:uid="{C624AF33-CBA3-4E85-910E-901F32398602}" name="Marks Obtained3" dataDxfId="59"/>
    <tableColumn id="9" xr3:uid="{3C546FD5-090B-44A3-95E7-3A58303A93CF}" name="Subject3" dataDxfId="58">
      <calculatedColumnFormula>IF(ISBLANK(B2),"","Math")</calculatedColumnFormula>
    </tableColumn>
    <tableColumn id="10" xr3:uid="{3BF6BFA0-7E62-48C6-A83D-DE6F87EF6ED5}" name="Total Marks6" dataDxfId="57">
      <calculatedColumnFormula>IF(ISBLANK(B2),"",100)</calculatedColumnFormula>
    </tableColumn>
    <tableColumn id="11" xr3:uid="{58C972CC-7321-41C3-946F-96C564119E44}" name="Marks Obtained4" dataDxfId="56"/>
    <tableColumn id="12" xr3:uid="{B3CFB356-B253-4E28-880A-3957D72BD2E3}" name="Subject4" dataDxfId="55">
      <calculatedColumnFormula>IF(ISBLANK(B2),"","EVS")</calculatedColumnFormula>
    </tableColumn>
    <tableColumn id="13" xr3:uid="{8312945E-7733-49FD-9244-3A9B0C2F36F0}" name="Total Marks9" dataDxfId="54">
      <calculatedColumnFormula>IF(ISBLANK(B2),"",100)</calculatedColumnFormula>
    </tableColumn>
    <tableColumn id="14" xr3:uid="{667C5446-FAC5-4741-8014-3F495866D39C}" name="Marks Obtained2" dataDxfId="53"/>
    <tableColumn id="24" xr3:uid="{3123EDBA-5D2D-4E74-80F3-9BF47E70F2B8}" name="Overall _x000a_Total Marks" dataDxfId="52">
      <calculatedColumnFormula>D2+G2+J2+M2+100</calculatedColumnFormula>
    </tableColumn>
    <tableColumn id="25" xr3:uid="{99F1A30F-1263-4E96-AA83-597440DF9AC2}" name="Overall Marks _x000a_Obtained" dataDxfId="51">
      <calculatedColumnFormula>E2+H2+K2+N2</calculatedColumnFormula>
    </tableColumn>
    <tableColumn id="26" xr3:uid="{31C531A0-A916-4FF6-8C09-9986D2169D8F}" name="Overall _x000a_Percent" dataDxfId="50">
      <calculatedColumnFormula>P2/O2*100</calculatedColumnFormula>
    </tableColumn>
    <tableColumn id="27" xr3:uid="{FD28D4CC-9B59-429B-A658-0648BC2E9FDC}" name="Grade" dataDxfId="49">
      <calculatedColumnFormula array="1">_xlfn.IFS(Q2&gt;75, "A", Q2&gt;60, "B", Q2&gt;45, "C", Q2&gt;33, "D", Q2&lt;=33, "E")</calculatedColumnFormula>
    </tableColumn>
    <tableColumn id="28" xr3:uid="{306D2A46-2CD5-44BC-9619-34EEC56E426D}" name="Remarks" dataDxfId="48">
      <calculatedColumnFormula array="1">_xlfn.IFS(R2="A", "Excellent work! Consistently strong effort and achievement.", R2="B", "Great job! Solid understanding, keep striving for excellence.",R2="C", "Meets expectations. Focus on improvement with subject skills.", R2="D", "Needs improvement. Seek extra help and focus to grasp concepts.", R2="E", "Needs more efforts. Regular attendance and focus needed.")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8169AE-8D0D-4D5B-8C7B-54027677F3FF}" name="Table2" displayName="Table2" ref="A1:V4" totalsRowShown="0" headerRowDxfId="47" dataDxfId="46">
  <autoFilter ref="A1:V4" xr:uid="{F28169AE-8D0D-4D5B-8C7B-54027677F3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71266343-CC8B-4691-9FF5-1651859D9601}" name="S. No-" dataDxfId="45"/>
    <tableColumn id="2" xr3:uid="{20D9EB7B-95DF-4351-9A2C-E7D48DECDB7F}" name="Name" dataDxfId="44"/>
    <tableColumn id="3" xr3:uid="{612F1A31-9CAF-43E7-AB31-E8A18226BBCC}" name="Subject" dataDxfId="43"/>
    <tableColumn id="4" xr3:uid="{D775D4AB-F3DD-4DB3-B097-3ED47C7F896F}" name="Total Marks" dataDxfId="42">
      <calculatedColumnFormula>IF(ISBLANK(B2),"",100)</calculatedColumnFormula>
    </tableColumn>
    <tableColumn id="5" xr3:uid="{20A089EC-9E70-4B8A-B44F-0C39DD987D04}" name="Marks Obtained" dataDxfId="41"/>
    <tableColumn id="6" xr3:uid="{6381EDD2-AB97-4F3C-BB64-F9E8A2AFBCAB}" name="Subject2" dataDxfId="40">
      <calculatedColumnFormula>IF(ISBLANK(B2),"","Math")</calculatedColumnFormula>
    </tableColumn>
    <tableColumn id="7" xr3:uid="{7166A268-59D6-405A-BAEB-73B0866067A6}" name="Total Marks3" dataDxfId="39">
      <calculatedColumnFormula>IF(ISBLANK(B2),"",100)</calculatedColumnFormula>
    </tableColumn>
    <tableColumn id="8" xr3:uid="{366CE1D4-21DE-4926-ACA8-75E886787303}" name="Marks Obtained4" dataDxfId="38"/>
    <tableColumn id="9" xr3:uid="{3A9922C5-B83C-43AC-84FD-166E94C31A74}" name="subject5" dataDxfId="37">
      <calculatedColumnFormula>IF(ISBLANK(B2),"","English")</calculatedColumnFormula>
    </tableColumn>
    <tableColumn id="10" xr3:uid="{AE065D8B-5DB1-4C5E-A2FC-A94595BB8D88}" name="Total Marks6" dataDxfId="36"/>
    <tableColumn id="11" xr3:uid="{F830F73C-B29F-4289-83CF-825FB5769CD0}" name="Marks Obtained7" dataDxfId="35"/>
    <tableColumn id="14" xr3:uid="{B4825B7D-C509-4EC9-AD09-E28713B6CF93}" name="Subject10" dataDxfId="34">
      <calculatedColumnFormula>IF(ISBLANK(B2),"","EVS")</calculatedColumnFormula>
    </tableColumn>
    <tableColumn id="15" xr3:uid="{A6CA99B0-DC5E-4705-BE7F-D7878CE37C5E}" name="Total Marks11" dataDxfId="33"/>
    <tableColumn id="16" xr3:uid="{8019FDB3-C40A-46AB-A882-2855BD754505}" name="Marks Obtained12" dataDxfId="32"/>
    <tableColumn id="17" xr3:uid="{BD4E2AEB-17C3-4306-9BD2-64AA4E87CC16}" name="Subject13" dataDxfId="31">
      <calculatedColumnFormula>IF(ISBLANK(B2),"","Computer")</calculatedColumnFormula>
    </tableColumn>
    <tableColumn id="18" xr3:uid="{53888028-7D9E-4D36-A631-E968DBCDA0B3}" name="Total Marks14" dataDxfId="30">
      <calculatedColumnFormula>IF(ISBLANK(B2),"",50)</calculatedColumnFormula>
    </tableColumn>
    <tableColumn id="19" xr3:uid="{6F9B9680-8DCB-4645-A0A4-7B3D30AF45A5}" name="Marks Obtained15" dataDxfId="29"/>
    <tableColumn id="20" xr3:uid="{BF7F2D48-DA85-4045-B73A-7D429BCADBE2}" name="Overall Marks " dataDxfId="28">
      <calculatedColumnFormula>IF(ISBLANK(B2),"",450)</calculatedColumnFormula>
    </tableColumn>
    <tableColumn id="22" xr3:uid="{74C78181-B666-4FC6-8E7D-DC3E2F7B0EF2}" name="Overall Marks _x000a_Obtained" dataDxfId="27">
      <calculatedColumnFormula>E2+H2+K2+Q2+N2</calculatedColumnFormula>
    </tableColumn>
    <tableColumn id="23" xr3:uid="{588B2C3D-72DA-4068-B496-CB961A1827BA}" name="Overall _x000a_Percent" dataDxfId="26">
      <calculatedColumnFormula>S2/R2*100</calculatedColumnFormula>
    </tableColumn>
    <tableColumn id="24" xr3:uid="{EB981862-2A60-408E-BCC6-488390E6F910}" name="Grade" dataDxfId="25">
      <calculatedColumnFormula array="1">_xlfn.IFS(T2&gt;75, "A", T2&gt;60, "B", T2&gt;45, "C", T2&gt;33, "D", T2&lt;33, "E")</calculatedColumnFormula>
    </tableColumn>
    <tableColumn id="25" xr3:uid="{A83F8E2A-9381-4A8C-80A5-18B82D58BDC0}" name="Remarks" dataDxfId="24">
      <calculatedColumnFormula array="1">_xlfn.IFS(U2="A", "Excellent work! Consistently strong effort and achievement.", U2="B", "Great job! Solid understanding, keep striving for excellence.",U2="C", "Meets expectations. Focus on improvement with subject skills.", U2="D", "Needs improvement. Seek extra help and focus to grasp concepts.", U2="E", "Needs more efforts. Regular attendance and focus needed.")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B5CA39-0EED-4861-BFDF-1AD1C5C52B1D}" name="Table24" displayName="Table24" ref="A1:V5" totalsRowShown="0" headerRowDxfId="23" dataDxfId="22">
  <autoFilter ref="A1:V5" xr:uid="{F28169AE-8D0D-4D5B-8C7B-54027677F3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BE3DB8FC-000C-411C-843D-D0E3A9AEF49C}" name="S. No-" dataDxfId="21"/>
    <tableColumn id="2" xr3:uid="{B66BC773-4A6E-4E87-900D-57CC30C05F1C}" name="Name" dataDxfId="20"/>
    <tableColumn id="3" xr3:uid="{C8CEDD09-5D06-446D-A44C-A180CAD01D07}" name="Subject" dataDxfId="19">
      <calculatedColumnFormula>IF(ISBLANK(B2),"","Hindi")</calculatedColumnFormula>
    </tableColumn>
    <tableColumn id="4" xr3:uid="{AE347495-A00F-4047-A740-9BE3790BAA59}" name="Total Marks" dataDxfId="18">
      <calculatedColumnFormula>IF(ISBLANK(B2),"",100)</calculatedColumnFormula>
    </tableColumn>
    <tableColumn id="5" xr3:uid="{5E8FA303-75A1-43D4-99F8-33CE0101DAD4}" name="Marks Obtained" dataDxfId="17"/>
    <tableColumn id="6" xr3:uid="{51A97731-CB36-4F54-ADB4-BEE0929358AE}" name="Subject2" dataDxfId="16">
      <calculatedColumnFormula>IF(ISBLANK(B2),"","Math")</calculatedColumnFormula>
    </tableColumn>
    <tableColumn id="7" xr3:uid="{419D0720-FBC4-4537-B4BD-972FE613DE55}" name="Total Marks3" dataDxfId="15">
      <calculatedColumnFormula>IF(ISBLANK(B2),"",100)</calculatedColumnFormula>
    </tableColumn>
    <tableColumn id="8" xr3:uid="{0B236F56-87DA-4780-9119-922F09351B41}" name="Marks Obtained4" dataDxfId="14"/>
    <tableColumn id="9" xr3:uid="{039E8D4D-82DC-490B-8885-87C2145BB06F}" name="subject5" dataDxfId="13">
      <calculatedColumnFormula>IF(ISBLANK(B2),"","English")</calculatedColumnFormula>
    </tableColumn>
    <tableColumn id="10" xr3:uid="{272AEC75-2C97-4556-A5B1-8DA526AA2D0B}" name="Total Marks6" dataDxfId="12">
      <calculatedColumnFormula>IF(ISBLANK(B2),"",100)</calculatedColumnFormula>
    </tableColumn>
    <tableColumn id="11" xr3:uid="{4BB06AF8-EAB7-424E-B800-9ACACB38DD53}" name="Marks Obtained7" dataDxfId="11"/>
    <tableColumn id="14" xr3:uid="{985E7E82-F747-4F60-8DEC-7C341F47A245}" name="Subject10" dataDxfId="10">
      <calculatedColumnFormula>IF(ISBLANK(B2),"","EVS")</calculatedColumnFormula>
    </tableColumn>
    <tableColumn id="15" xr3:uid="{3F6350D2-9579-427E-B638-0C9CE506D312}" name="Total Marks11" dataDxfId="9">
      <calculatedColumnFormula>M3</calculatedColumnFormula>
    </tableColumn>
    <tableColumn id="16" xr3:uid="{4177F30D-B7F7-429D-81C1-5547D6DB39F4}" name="Marks Obtained12" dataDxfId="8"/>
    <tableColumn id="17" xr3:uid="{E55E394D-F377-49E0-85EA-8D760AB783E1}" name="Subject13" dataDxfId="7"/>
    <tableColumn id="18" xr3:uid="{6785FFC0-AA0A-45DD-B40E-CB03BC60DFBF}" name="Total Marks14" dataDxfId="6"/>
    <tableColumn id="19" xr3:uid="{05690D22-7E05-4ACD-8384-75D2F933997A}" name="Marks Obtained15" dataDxfId="5"/>
    <tableColumn id="20" xr3:uid="{1FDE2F75-A633-4C95-B470-423DF02A9945}" name="Overall Marks " dataDxfId="4"/>
    <tableColumn id="22" xr3:uid="{C4966D2B-9D04-4496-8D1B-493AF40EC17E}" name="Overall Marks _x000a_Obtained" dataDxfId="3">
      <calculatedColumnFormula>E2+H2+K2+Q2+N2</calculatedColumnFormula>
    </tableColumn>
    <tableColumn id="23" xr3:uid="{AA86F58E-ABAC-4955-9E27-37AB3C9336C2}" name="Overall _x000a_Percent" dataDxfId="2">
      <calculatedColumnFormula>S2/R2*100</calculatedColumnFormula>
    </tableColumn>
    <tableColumn id="24" xr3:uid="{F0EDA645-9B0B-4DF1-BB8C-271712553712}" name="Grade" dataDxfId="1">
      <calculatedColumnFormula array="1">_xlfn.IFS(T2&gt;75, "A", T2&gt;60, "B", T2&gt;45, "C", T2&gt;33, "D", T2&lt;33, "E")</calculatedColumnFormula>
    </tableColumn>
    <tableColumn id="25" xr3:uid="{671A7D07-D574-4C9A-9773-8C0B6A8B3792}" name="Remarks" dataDxfId="0">
      <calculatedColumnFormula array="1">_xlfn.IFS(U2="A", "Excellent work! Consistently strong effort and achievement.", U2="B", "Great job! Solid understanding, keep striving for excellence.",U2="C", "Meets expectations. Focus on improvement with subject skills.", U2="D", "Needs improvement. Seek extra help and focus to grasp concepts.", U2="E", "Needs more efforts. Regular attendance and focus needed.")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5F2A-5920-4167-A5EA-21AD55BF4323}">
  <dimension ref="A1:AE192"/>
  <sheetViews>
    <sheetView workbookViewId="0">
      <selection activeCell="B18" sqref="B18"/>
    </sheetView>
  </sheetViews>
  <sheetFormatPr defaultColWidth="9.21875" defaultRowHeight="14.4" x14ac:dyDescent="0.3"/>
  <cols>
    <col min="1" max="1" width="9.21875" style="2" customWidth="1"/>
    <col min="2" max="2" width="8.21875" style="2" bestFit="1" customWidth="1"/>
    <col min="3" max="3" width="14" style="2" customWidth="1"/>
    <col min="4" max="4" width="11.21875" style="2" customWidth="1"/>
    <col min="5" max="5" width="15" style="2" customWidth="1"/>
    <col min="6" max="6" width="11.77734375" style="2" customWidth="1"/>
    <col min="7" max="7" width="11.21875" style="2" customWidth="1"/>
    <col min="8" max="8" width="15.21875" style="2" customWidth="1"/>
    <col min="9" max="9" width="12.5546875" style="2" customWidth="1"/>
    <col min="10" max="10" width="11.21875" style="2" customWidth="1"/>
    <col min="11" max="11" width="15.21875" style="2" customWidth="1"/>
    <col min="12" max="12" width="9.77734375" style="2" customWidth="1"/>
    <col min="13" max="13" width="11.21875" style="2" customWidth="1"/>
    <col min="14" max="14" width="15.21875" style="2" customWidth="1"/>
    <col min="15" max="15" width="18.5546875" style="2" customWidth="1"/>
    <col min="16" max="16" width="11.21875" style="2" customWidth="1"/>
    <col min="17" max="17" width="15.21875" style="2" customWidth="1"/>
    <col min="18" max="18" width="12.77734375" style="2" customWidth="1"/>
    <col min="19" max="19" width="11.21875" style="2" customWidth="1"/>
    <col min="20" max="20" width="15.21875" style="2" customWidth="1"/>
    <col min="21" max="21" width="9.77734375" style="2" customWidth="1"/>
    <col min="22" max="22" width="11.21875" style="2" customWidth="1"/>
    <col min="23" max="23" width="15.21875" style="2" customWidth="1"/>
    <col min="24" max="25" width="9.21875" style="2" customWidth="1"/>
    <col min="26" max="26" width="12" style="2" bestFit="1" customWidth="1"/>
    <col min="27" max="27" width="6.44140625" style="2" bestFit="1" customWidth="1"/>
    <col min="28" max="28" width="60" style="2" bestFit="1" customWidth="1"/>
    <col min="29" max="16384" width="9.21875" style="2"/>
  </cols>
  <sheetData>
    <row r="1" spans="1:31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10</v>
      </c>
      <c r="G1" s="1" t="s">
        <v>11</v>
      </c>
      <c r="H1" s="1" t="s">
        <v>12</v>
      </c>
      <c r="I1" s="1" t="s">
        <v>10</v>
      </c>
      <c r="J1" s="1" t="s">
        <v>11</v>
      </c>
      <c r="K1" s="1" t="s">
        <v>12</v>
      </c>
      <c r="L1" s="1" t="s">
        <v>10</v>
      </c>
      <c r="M1" s="1" t="s">
        <v>11</v>
      </c>
      <c r="N1" s="1" t="s">
        <v>12</v>
      </c>
      <c r="O1" s="1" t="s">
        <v>10</v>
      </c>
      <c r="P1" s="1" t="s">
        <v>11</v>
      </c>
      <c r="Q1" s="1" t="s">
        <v>12</v>
      </c>
      <c r="R1" s="1" t="s">
        <v>10</v>
      </c>
      <c r="S1" s="1" t="s">
        <v>11</v>
      </c>
      <c r="T1" s="1" t="s">
        <v>12</v>
      </c>
      <c r="U1" s="1" t="s">
        <v>10</v>
      </c>
      <c r="V1" s="1" t="s">
        <v>11</v>
      </c>
      <c r="W1" s="1" t="s">
        <v>12</v>
      </c>
      <c r="X1" s="1" t="s">
        <v>29</v>
      </c>
      <c r="Y1" s="1" t="s">
        <v>30</v>
      </c>
      <c r="Z1" s="1" t="s">
        <v>31</v>
      </c>
      <c r="AA1" s="1" t="s">
        <v>16</v>
      </c>
      <c r="AB1" s="1" t="s">
        <v>17</v>
      </c>
      <c r="AC1" s="1"/>
      <c r="AD1" s="1"/>
      <c r="AE1" s="1"/>
    </row>
    <row r="2" spans="1:31" x14ac:dyDescent="0.3">
      <c r="A2" s="2">
        <v>1</v>
      </c>
      <c r="B2" s="2" t="s">
        <v>41</v>
      </c>
      <c r="C2" s="2" t="s">
        <v>1</v>
      </c>
      <c r="D2" s="2">
        <v>60</v>
      </c>
      <c r="E2" s="2">
        <v>50</v>
      </c>
      <c r="F2" s="2" t="s">
        <v>2</v>
      </c>
      <c r="G2" s="2">
        <v>40</v>
      </c>
      <c r="H2" s="2">
        <v>25</v>
      </c>
      <c r="I2" s="2" t="s">
        <v>3</v>
      </c>
      <c r="J2" s="2">
        <v>60</v>
      </c>
      <c r="K2" s="2">
        <v>24</v>
      </c>
      <c r="L2" s="2" t="s">
        <v>4</v>
      </c>
      <c r="M2" s="2">
        <v>40</v>
      </c>
      <c r="N2" s="2">
        <v>25</v>
      </c>
      <c r="O2" s="2" t="s">
        <v>5</v>
      </c>
      <c r="P2" s="2">
        <v>50</v>
      </c>
      <c r="Q2" s="2">
        <v>40</v>
      </c>
      <c r="R2" s="2" t="s">
        <v>6</v>
      </c>
      <c r="S2" s="2">
        <v>60</v>
      </c>
      <c r="T2" s="2">
        <v>34</v>
      </c>
      <c r="U2" s="2" t="s">
        <v>7</v>
      </c>
      <c r="V2" s="2">
        <v>40</v>
      </c>
      <c r="W2" s="2">
        <v>20</v>
      </c>
      <c r="X2" s="2">
        <f>D2+G2+J2+M2+P2+S2+V2</f>
        <v>350</v>
      </c>
      <c r="Y2" s="2">
        <f>E2+H2+K2+N2+Q2+T2+W2</f>
        <v>218</v>
      </c>
      <c r="Z2" s="2">
        <f>Y2/X2*100</f>
        <v>62.285714285714292</v>
      </c>
      <c r="AA2" s="2" t="str" cm="1">
        <f t="array" ref="AA2">_xlfn.IFS(Z2&gt;75, "A", Z2&gt;60, "B", Z2&gt;45, "C", Z2&gt;33, "D", Z2&lt;33, "E")</f>
        <v>B</v>
      </c>
      <c r="AB2" s="2" t="str" cm="1">
        <f t="array" ref="AB2">_xlfn.IFS(AA2="A", "Excellent work! Consistently strong effort and achievement.", AA2="B", "Great job! Solid understanding, keep striving for excellence.",AA2="C", "Meets expectations. Focus on improvement with subject skills.", AA2="D", "Needs improvement. Seek extra help and focus to grasp concepts.", AA2="E", "Needs more efforts. Regular attendance and focus needed.", AA2="","")</f>
        <v>Great job! Solid understanding, keep striving for excellence.</v>
      </c>
    </row>
    <row r="3" spans="1:31" x14ac:dyDescent="0.3">
      <c r="A3" s="2">
        <v>2</v>
      </c>
      <c r="B3" s="2" t="s">
        <v>33</v>
      </c>
      <c r="C3" s="2" t="s">
        <v>1</v>
      </c>
      <c r="D3" s="2">
        <v>60</v>
      </c>
      <c r="E3" s="2">
        <v>59</v>
      </c>
      <c r="F3" s="2" t="s">
        <v>2</v>
      </c>
      <c r="G3" s="2">
        <v>40</v>
      </c>
      <c r="H3" s="2">
        <v>40</v>
      </c>
      <c r="I3" s="2" t="s">
        <v>3</v>
      </c>
      <c r="J3" s="2">
        <v>60</v>
      </c>
      <c r="K3" s="2">
        <v>60</v>
      </c>
      <c r="L3" s="2" t="s">
        <v>4</v>
      </c>
      <c r="M3" s="2">
        <v>40</v>
      </c>
      <c r="N3" s="2">
        <v>40</v>
      </c>
      <c r="O3" s="2" t="s">
        <v>5</v>
      </c>
      <c r="P3" s="2">
        <v>50</v>
      </c>
      <c r="Q3" s="2">
        <v>45</v>
      </c>
      <c r="R3" s="2" t="s">
        <v>6</v>
      </c>
      <c r="S3" s="2">
        <v>60</v>
      </c>
      <c r="T3" s="2">
        <v>58</v>
      </c>
      <c r="U3" s="2" t="s">
        <v>7</v>
      </c>
      <c r="V3" s="2">
        <v>40</v>
      </c>
      <c r="W3" s="2">
        <v>40</v>
      </c>
      <c r="X3" s="2">
        <f t="shared" ref="X3:X11" si="0">D3+G3+J3+M3+P3+S3+V3</f>
        <v>350</v>
      </c>
      <c r="Y3" s="2">
        <f t="shared" ref="Y3:Y11" si="1">E3+H3+K3+N3+Q3+T3+W3</f>
        <v>342</v>
      </c>
      <c r="Z3" s="2">
        <f t="shared" ref="Z3:Z11" si="2">Y3/X3*100</f>
        <v>97.714285714285708</v>
      </c>
      <c r="AA3" s="2" t="str" cm="1">
        <f t="array" ref="AA3">_xlfn.IFS(Z3&gt;75, "A", Z3&gt;60, "B", Z3&gt;45, "C", Z3&gt;33, "D", Z3&lt;33, "E")</f>
        <v>A</v>
      </c>
      <c r="AB3" s="2" t="str" cm="1">
        <f t="array" ref="AB3">_xlfn.IFS(AA3="A", "Excellent work! Consistently strong effort and achievement.", AA3="B", "Great job! Solid understanding, keep striving for excellence.",AA3="C", "Meets expectations. Focus on improvement with subject skills.", AA3="D", "Needs improvement. Seek extra help and focus to grasp concepts.", AA3="E", "Needs more efforts. Regular attendance and focus needed.", AA3="","")</f>
        <v>Excellent work! Consistently strong effort and achievement.</v>
      </c>
    </row>
    <row r="4" spans="1:31" x14ac:dyDescent="0.3">
      <c r="A4" s="2">
        <v>3</v>
      </c>
      <c r="B4" s="2" t="s">
        <v>34</v>
      </c>
      <c r="C4" s="2" t="s">
        <v>1</v>
      </c>
      <c r="D4" s="2">
        <v>60</v>
      </c>
      <c r="E4" s="2">
        <v>47</v>
      </c>
      <c r="F4" s="2" t="s">
        <v>2</v>
      </c>
      <c r="G4" s="2">
        <v>40</v>
      </c>
      <c r="H4" s="2">
        <v>30</v>
      </c>
      <c r="I4" s="2" t="s">
        <v>3</v>
      </c>
      <c r="J4" s="2">
        <v>60</v>
      </c>
      <c r="K4" s="2">
        <v>18</v>
      </c>
      <c r="L4" s="2" t="s">
        <v>4</v>
      </c>
      <c r="M4" s="2">
        <v>40</v>
      </c>
      <c r="N4" s="2">
        <v>30</v>
      </c>
      <c r="O4" s="2" t="s">
        <v>5</v>
      </c>
      <c r="P4" s="2">
        <v>50</v>
      </c>
      <c r="Q4" s="2">
        <v>0</v>
      </c>
      <c r="R4" s="2" t="s">
        <v>6</v>
      </c>
      <c r="S4" s="2">
        <v>60</v>
      </c>
      <c r="T4" s="2">
        <v>29</v>
      </c>
      <c r="U4" s="2" t="s">
        <v>7</v>
      </c>
      <c r="V4" s="2">
        <v>40</v>
      </c>
      <c r="W4" s="2">
        <v>25</v>
      </c>
      <c r="X4" s="2">
        <f t="shared" si="0"/>
        <v>350</v>
      </c>
      <c r="Y4" s="2">
        <f t="shared" si="1"/>
        <v>179</v>
      </c>
      <c r="Z4" s="2">
        <f t="shared" si="2"/>
        <v>51.142857142857146</v>
      </c>
      <c r="AA4" s="2" t="str" cm="1">
        <f t="array" ref="AA4">_xlfn.IFS(Z4&gt;75, "A", Z4&gt;60, "B", Z4&gt;45, "C", Z4&gt;33, "D", Z4&lt;33, "E")</f>
        <v>C</v>
      </c>
      <c r="AB4" s="2" t="str" cm="1">
        <f t="array" ref="AB4">_xlfn.IFS(AA4="A", "Excellent work! Consistently strong effort and achievement.", AA4="B", "Great job! Solid understanding, keep striving for excellence.",AA4="C", "Meets expectations. Focus on improvement with subject skills.", AA4="D", "Needs improvement. Seek extra help and focus to grasp concepts.", AA4="E", "Needs more efforts. Regular attendance and focus needed.", AA4="","")</f>
        <v>Meets expectations. Focus on improvement with subject skills.</v>
      </c>
    </row>
    <row r="5" spans="1:31" x14ac:dyDescent="0.3">
      <c r="A5" s="2">
        <v>4</v>
      </c>
      <c r="B5" s="2" t="s">
        <v>35</v>
      </c>
      <c r="C5" s="2" t="s">
        <v>1</v>
      </c>
      <c r="D5" s="2">
        <v>60</v>
      </c>
      <c r="E5" s="2">
        <v>58</v>
      </c>
      <c r="F5" s="2" t="s">
        <v>2</v>
      </c>
      <c r="G5" s="2">
        <v>40</v>
      </c>
      <c r="H5" s="2">
        <v>30</v>
      </c>
      <c r="I5" s="2" t="s">
        <v>3</v>
      </c>
      <c r="J5" s="2">
        <v>60</v>
      </c>
      <c r="K5" s="2">
        <v>59</v>
      </c>
      <c r="L5" s="2" t="s">
        <v>4</v>
      </c>
      <c r="M5" s="2">
        <v>40</v>
      </c>
      <c r="N5" s="2">
        <v>25</v>
      </c>
      <c r="O5" s="2" t="s">
        <v>5</v>
      </c>
      <c r="P5" s="2">
        <v>50</v>
      </c>
      <c r="Q5" s="2">
        <v>45</v>
      </c>
      <c r="R5" s="2" t="s">
        <v>6</v>
      </c>
      <c r="S5" s="2">
        <v>60</v>
      </c>
      <c r="T5" s="2">
        <v>50</v>
      </c>
      <c r="U5" s="2" t="s">
        <v>7</v>
      </c>
      <c r="V5" s="2">
        <v>40</v>
      </c>
      <c r="W5" s="2">
        <v>30</v>
      </c>
      <c r="X5" s="2">
        <f t="shared" si="0"/>
        <v>350</v>
      </c>
      <c r="Y5" s="2">
        <f t="shared" si="1"/>
        <v>297</v>
      </c>
      <c r="Z5" s="2">
        <f t="shared" si="2"/>
        <v>84.857142857142847</v>
      </c>
      <c r="AA5" s="2" t="str" cm="1">
        <f t="array" ref="AA5">_xlfn.IFS(Z5&gt;75, "A", Z5&gt;60, "B", Z5&gt;45, "C", Z5&gt;33, "D", Z5&lt;33, "E")</f>
        <v>A</v>
      </c>
      <c r="AB5" s="2" t="str" cm="1">
        <f t="array" ref="AB5">_xlfn.IFS(AA5="A", "Excellent work! Consistently strong effort and achievement.", AA5="B", "Great job! Solid understanding, keep striving for excellence.",AA5="C", "Meets expectations. Focus on improvement with subject skills.", AA5="D", "Needs improvement. Seek extra help and focus to grasp concepts.", AA5="E", "Needs more efforts. Regular attendance and focus needed.", AA5="","")</f>
        <v>Excellent work! Consistently strong effort and achievement.</v>
      </c>
    </row>
    <row r="6" spans="1:31" x14ac:dyDescent="0.3">
      <c r="A6" s="2">
        <v>5</v>
      </c>
      <c r="B6" s="2" t="s">
        <v>36</v>
      </c>
      <c r="C6" s="2" t="s">
        <v>1</v>
      </c>
      <c r="D6" s="2">
        <v>60</v>
      </c>
      <c r="E6" s="2">
        <v>60</v>
      </c>
      <c r="F6" s="2" t="s">
        <v>2</v>
      </c>
      <c r="G6" s="2">
        <v>40</v>
      </c>
      <c r="H6" s="2">
        <v>20</v>
      </c>
      <c r="I6" s="2" t="s">
        <v>3</v>
      </c>
      <c r="J6" s="2">
        <v>60</v>
      </c>
      <c r="K6" s="2">
        <v>60</v>
      </c>
      <c r="L6" s="2" t="s">
        <v>4</v>
      </c>
      <c r="M6" s="2">
        <v>40</v>
      </c>
      <c r="N6" s="2">
        <v>40</v>
      </c>
      <c r="O6" s="2" t="s">
        <v>5</v>
      </c>
      <c r="P6" s="2">
        <v>50</v>
      </c>
      <c r="Q6" s="2">
        <v>45</v>
      </c>
      <c r="R6" s="2" t="s">
        <v>6</v>
      </c>
      <c r="S6" s="2">
        <v>60</v>
      </c>
      <c r="T6" s="2">
        <v>57</v>
      </c>
      <c r="U6" s="2" t="s">
        <v>7</v>
      </c>
      <c r="V6" s="2">
        <v>40</v>
      </c>
      <c r="W6" s="2">
        <v>40</v>
      </c>
      <c r="X6" s="2">
        <f t="shared" si="0"/>
        <v>350</v>
      </c>
      <c r="Y6" s="2">
        <f t="shared" si="1"/>
        <v>322</v>
      </c>
      <c r="Z6" s="2">
        <f t="shared" si="2"/>
        <v>92</v>
      </c>
      <c r="AA6" s="2" t="str" cm="1">
        <f t="array" ref="AA6">_xlfn.IFS(Z6&gt;75, "A", Z6&gt;60, "B", Z6&gt;45, "C", Z6&gt;33, "D", Z6&lt;33, "E")</f>
        <v>A</v>
      </c>
      <c r="AB6" s="2" t="str" cm="1">
        <f t="array" ref="AB6">_xlfn.IFS(AA6="A", "Excellent work! Consistently strong effort and achievement.", AA6="B", "Great job! Solid understanding, keep striving for excellence.",AA6="C", "Meets expectations. Focus on improvement with subject skills.", AA6="D", "Needs improvement. Seek extra help and focus to grasp concepts.", AA6="E", "Needs more efforts. Regular attendance and focus needed.", AA6="","")</f>
        <v>Excellent work! Consistently strong effort and achievement.</v>
      </c>
    </row>
    <row r="7" spans="1:31" x14ac:dyDescent="0.3">
      <c r="A7" s="2">
        <v>6</v>
      </c>
      <c r="B7" s="2" t="s">
        <v>37</v>
      </c>
      <c r="C7" s="2" t="s">
        <v>1</v>
      </c>
      <c r="D7" s="2">
        <v>60</v>
      </c>
      <c r="E7" s="2">
        <v>58</v>
      </c>
      <c r="F7" s="2" t="s">
        <v>18</v>
      </c>
      <c r="G7" s="2">
        <v>40</v>
      </c>
      <c r="H7" s="2">
        <v>30</v>
      </c>
      <c r="I7" s="2" t="s">
        <v>3</v>
      </c>
      <c r="J7" s="2">
        <v>60</v>
      </c>
      <c r="K7" s="2">
        <v>60</v>
      </c>
      <c r="L7" s="2" t="s">
        <v>4</v>
      </c>
      <c r="M7" s="2">
        <v>40</v>
      </c>
      <c r="N7" s="2">
        <v>30</v>
      </c>
      <c r="O7" s="2" t="s">
        <v>5</v>
      </c>
      <c r="P7" s="2">
        <v>50</v>
      </c>
      <c r="Q7" s="2">
        <v>35</v>
      </c>
      <c r="R7" s="2" t="s">
        <v>6</v>
      </c>
      <c r="S7" s="2">
        <v>60</v>
      </c>
      <c r="T7" s="2">
        <v>54</v>
      </c>
      <c r="U7" s="2" t="s">
        <v>7</v>
      </c>
      <c r="V7" s="2">
        <v>40</v>
      </c>
      <c r="W7" s="2">
        <v>35</v>
      </c>
      <c r="X7" s="2">
        <f t="shared" si="0"/>
        <v>350</v>
      </c>
      <c r="Y7" s="2">
        <f t="shared" si="1"/>
        <v>302</v>
      </c>
      <c r="Z7" s="2">
        <f t="shared" si="2"/>
        <v>86.285714285714292</v>
      </c>
      <c r="AA7" s="2" t="str" cm="1">
        <f t="array" ref="AA7">_xlfn.IFS(Z7&gt;75, "A", Z7&gt;60, "B", Z7&gt;45, "C", Z7&gt;33, "D", Z7&lt;33, "E")</f>
        <v>A</v>
      </c>
      <c r="AB7" s="2" t="str" cm="1">
        <f t="array" ref="AB7">_xlfn.IFS(AA7="A", "Excellent work! Consistently strong effort and achievement.", AA7="B", "Great job! Solid understanding, keep striving for excellence.",AA7="C", "Meets expectations. Focus on improvement with subject skills.", AA7="D", "Needs improvement. Seek extra help and focus to grasp concepts.", AA7="E", "Needs more efforts. Regular attendance and focus needed.", AA7="","")</f>
        <v>Excellent work! Consistently strong effort and achievement.</v>
      </c>
    </row>
    <row r="8" spans="1:31" x14ac:dyDescent="0.3">
      <c r="A8" s="2">
        <v>7</v>
      </c>
      <c r="B8" s="2" t="s">
        <v>38</v>
      </c>
      <c r="C8" s="2" t="s">
        <v>1</v>
      </c>
      <c r="D8" s="2">
        <v>60</v>
      </c>
      <c r="E8" s="2">
        <v>56</v>
      </c>
      <c r="F8" s="2" t="s">
        <v>18</v>
      </c>
      <c r="G8" s="2">
        <v>40</v>
      </c>
      <c r="H8" s="2">
        <v>30</v>
      </c>
      <c r="I8" s="2" t="s">
        <v>3</v>
      </c>
      <c r="J8" s="2">
        <v>60</v>
      </c>
      <c r="K8" s="2">
        <v>59</v>
      </c>
      <c r="L8" s="2" t="s">
        <v>4</v>
      </c>
      <c r="M8" s="2">
        <v>40</v>
      </c>
      <c r="N8" s="2">
        <v>30</v>
      </c>
      <c r="O8" s="2" t="s">
        <v>5</v>
      </c>
      <c r="P8" s="2">
        <v>50</v>
      </c>
      <c r="Q8" s="2">
        <v>40</v>
      </c>
      <c r="R8" s="2" t="s">
        <v>6</v>
      </c>
      <c r="S8" s="2">
        <v>60</v>
      </c>
      <c r="T8" s="2">
        <v>45</v>
      </c>
      <c r="U8" s="2" t="s">
        <v>7</v>
      </c>
      <c r="V8" s="2">
        <v>40</v>
      </c>
      <c r="W8" s="2">
        <v>36</v>
      </c>
      <c r="X8" s="2">
        <f t="shared" si="0"/>
        <v>350</v>
      </c>
      <c r="Y8" s="2">
        <f t="shared" si="1"/>
        <v>296</v>
      </c>
      <c r="Z8" s="2">
        <f t="shared" si="2"/>
        <v>84.571428571428569</v>
      </c>
      <c r="AA8" s="2" t="str" cm="1">
        <f t="array" ref="AA8">_xlfn.IFS(Z8&gt;75, "A", Z8&gt;60, "B", Z8&gt;45, "C", Z8&gt;33, "D", Z8&lt;33, "E")</f>
        <v>A</v>
      </c>
      <c r="AB8" s="2" t="str" cm="1">
        <f t="array" ref="AB8">_xlfn.IFS(AA8="A", "Excellent work! Consistently strong effort and achievement.", AA8="B", "Great job! Solid understanding, keep striving for excellence.",AA8="C", "Meets expectations. Focus on improvement with subject skills.", AA8="D", "Needs improvement. Seek extra help and focus to grasp concepts.", AA8="E", "Needs more efforts. Regular attendance and focus needed.", AA8="","")</f>
        <v>Excellent work! Consistently strong effort and achievement.</v>
      </c>
    </row>
    <row r="9" spans="1:31" x14ac:dyDescent="0.3">
      <c r="A9" s="2">
        <v>8</v>
      </c>
      <c r="B9" s="2" t="s">
        <v>39</v>
      </c>
      <c r="C9" s="2" t="s">
        <v>1</v>
      </c>
      <c r="D9" s="2">
        <v>60</v>
      </c>
      <c r="E9" s="2">
        <v>28</v>
      </c>
      <c r="F9" s="2" t="s">
        <v>18</v>
      </c>
      <c r="G9" s="2">
        <v>40</v>
      </c>
      <c r="H9" s="2">
        <v>35</v>
      </c>
      <c r="I9" s="2" t="s">
        <v>3</v>
      </c>
      <c r="J9" s="2">
        <v>60</v>
      </c>
      <c r="K9" s="2">
        <v>0</v>
      </c>
      <c r="L9" s="2" t="s">
        <v>4</v>
      </c>
      <c r="M9" s="2">
        <v>40</v>
      </c>
      <c r="N9" s="2">
        <v>30</v>
      </c>
      <c r="O9" s="2" t="s">
        <v>5</v>
      </c>
      <c r="P9" s="2">
        <v>50</v>
      </c>
      <c r="Q9" s="2">
        <v>25</v>
      </c>
      <c r="R9" s="2" t="s">
        <v>6</v>
      </c>
      <c r="S9" s="2">
        <v>60</v>
      </c>
      <c r="T9" s="2">
        <v>27</v>
      </c>
      <c r="U9" s="2" t="s">
        <v>7</v>
      </c>
      <c r="V9" s="2">
        <v>40</v>
      </c>
      <c r="W9" s="2">
        <v>30</v>
      </c>
      <c r="X9" s="2">
        <f t="shared" si="0"/>
        <v>350</v>
      </c>
      <c r="Y9" s="2">
        <f t="shared" si="1"/>
        <v>175</v>
      </c>
      <c r="Z9" s="2">
        <f t="shared" si="2"/>
        <v>50</v>
      </c>
      <c r="AA9" s="2" t="str" cm="1">
        <f t="array" ref="AA9">_xlfn.IFS(Z9&gt;75, "A", Z9&gt;60, "B", Z9&gt;45, "C", Z9&gt;33, "D", Z9&lt;33, "E")</f>
        <v>C</v>
      </c>
      <c r="AB9" s="2" t="str" cm="1">
        <f t="array" ref="AB9">_xlfn.IFS(AA9="A", "Excellent work! Consistently strong effort and achievement.", AA9="B", "Great job! Solid understanding, keep striving for excellence.",AA9="C", "Meets expectations. Focus on improvement with subject skills.", AA9="D", "Needs improvement. Seek extra help and focus to grasp concepts.", AA9="E", "Needs more efforts. Regular attendance and focus needed.", AA9="","")</f>
        <v>Meets expectations. Focus on improvement with subject skills.</v>
      </c>
    </row>
    <row r="10" spans="1:31" x14ac:dyDescent="0.3">
      <c r="A10" s="2">
        <v>9</v>
      </c>
      <c r="B10" s="2" t="s">
        <v>40</v>
      </c>
      <c r="C10" s="2" t="s">
        <v>1</v>
      </c>
      <c r="D10" s="2">
        <v>60</v>
      </c>
      <c r="E10" s="2">
        <v>60</v>
      </c>
      <c r="F10" s="2" t="s">
        <v>18</v>
      </c>
      <c r="G10" s="2">
        <v>40</v>
      </c>
      <c r="H10" s="2">
        <v>40</v>
      </c>
      <c r="I10" s="2" t="s">
        <v>3</v>
      </c>
      <c r="J10" s="2">
        <v>60</v>
      </c>
      <c r="K10" s="2">
        <v>60</v>
      </c>
      <c r="L10" s="2" t="s">
        <v>4</v>
      </c>
      <c r="M10" s="2">
        <v>40</v>
      </c>
      <c r="N10" s="2">
        <v>40</v>
      </c>
      <c r="O10" s="2" t="s">
        <v>5</v>
      </c>
      <c r="P10" s="2">
        <v>50</v>
      </c>
      <c r="Q10" s="2">
        <v>45</v>
      </c>
      <c r="R10" s="2" t="s">
        <v>6</v>
      </c>
      <c r="S10" s="2">
        <v>60</v>
      </c>
      <c r="T10" s="2">
        <v>45</v>
      </c>
      <c r="U10" s="2" t="s">
        <v>7</v>
      </c>
      <c r="V10" s="2">
        <v>40</v>
      </c>
      <c r="W10" s="2">
        <v>40</v>
      </c>
      <c r="X10" s="2">
        <f t="shared" si="0"/>
        <v>350</v>
      </c>
      <c r="Y10" s="2">
        <f t="shared" si="1"/>
        <v>330</v>
      </c>
      <c r="Z10" s="2">
        <f t="shared" si="2"/>
        <v>94.285714285714278</v>
      </c>
      <c r="AA10" s="2" t="str" cm="1">
        <f t="array" ref="AA10">_xlfn.IFS(Z10&gt;75, "A", Z10&gt;60, "B", Z10&gt;45, "C", Z10&gt;33, "D", Z10&lt;33, "E")</f>
        <v>A</v>
      </c>
      <c r="AB10" s="2" t="str" cm="1">
        <f t="array" ref="AB10">_xlfn.IFS(AA10="A", "Excellent work! Consistently strong effort and achievement.", AA10="B", "Great job! Solid understanding, keep striving for excellence.",AA10="C", "Meets expectations. Focus on improvement with subject skills.", AA10="D", "Needs improvement. Seek extra help and focus to grasp concepts.", AA10="E", "Needs more efforts. Regular attendance and focus needed.", AA10="","")</f>
        <v>Excellent work! Consistently strong effort and achievement.</v>
      </c>
    </row>
    <row r="11" spans="1:31" x14ac:dyDescent="0.3">
      <c r="A11" s="2">
        <v>10</v>
      </c>
      <c r="B11" s="2" t="s">
        <v>32</v>
      </c>
      <c r="C11" s="2" t="s">
        <v>1</v>
      </c>
      <c r="D11" s="2">
        <v>60</v>
      </c>
      <c r="E11" s="2">
        <v>36</v>
      </c>
      <c r="F11" s="2" t="s">
        <v>18</v>
      </c>
      <c r="G11" s="2">
        <v>40</v>
      </c>
      <c r="H11" s="2">
        <v>20</v>
      </c>
      <c r="I11" s="2" t="s">
        <v>3</v>
      </c>
      <c r="J11" s="2">
        <v>60</v>
      </c>
      <c r="K11" s="2">
        <v>30</v>
      </c>
      <c r="L11" s="2" t="s">
        <v>4</v>
      </c>
      <c r="M11" s="2">
        <v>40</v>
      </c>
      <c r="N11" s="2">
        <v>30</v>
      </c>
      <c r="O11" s="2" t="s">
        <v>5</v>
      </c>
      <c r="P11" s="2">
        <v>50</v>
      </c>
      <c r="Q11" s="2">
        <v>40</v>
      </c>
      <c r="R11" s="2" t="s">
        <v>6</v>
      </c>
      <c r="S11" s="2">
        <v>60</v>
      </c>
      <c r="T11" s="2">
        <v>4</v>
      </c>
      <c r="U11" s="2" t="s">
        <v>7</v>
      </c>
      <c r="V11" s="2">
        <v>40</v>
      </c>
      <c r="W11" s="2">
        <v>29</v>
      </c>
      <c r="X11" s="2">
        <f t="shared" si="0"/>
        <v>350</v>
      </c>
      <c r="Y11" s="2">
        <f t="shared" si="1"/>
        <v>189</v>
      </c>
      <c r="Z11" s="2">
        <f t="shared" si="2"/>
        <v>54</v>
      </c>
      <c r="AA11" s="2" t="str" cm="1">
        <f t="array" ref="AA11">_xlfn.IFS(Z11&gt;75, "A", Z11&gt;60, "B", Z11&gt;45, "C", Z11&gt;33, "D", Z11&lt;33, "E")</f>
        <v>C</v>
      </c>
      <c r="AB11" s="2" t="str" cm="1">
        <f t="array" ref="AB11">_xlfn.IFS(AA11="A", "Excellent work! Consistently strong effort and achievement.", AA11="B", "Great job! Solid understanding, keep striving for excellence.",AA11="C", "Meets expectations. Focus on improvement with subject skills.", AA11="D", "Needs improvement. Seek extra help and focus to grasp concepts.", AA11="E", "Needs more efforts. Regular attendance and focus needed.", AA11="","")</f>
        <v>Meets expectations. Focus on improvement with subject skills.</v>
      </c>
    </row>
    <row r="12" spans="1:31" x14ac:dyDescent="0.3">
      <c r="AB12" s="2" t="str" cm="1">
        <f t="array" ref="AB12">_xlfn.IFS(AA12="A", "Excellent work! Consistently strong effort and achievement.", AA12="B", "Great job! Solid understanding, keep striving for excellence.",AA12="C", "Meets expectations. Focus on improvement with subject skills.", AA12="D", "Needs improvement. Seek extra help and focus to grasp concepts.", AA12="E", "Needs more efforts. Regular attendance and focus needed.", AA12="","")</f>
        <v/>
      </c>
    </row>
    <row r="13" spans="1:31" x14ac:dyDescent="0.3">
      <c r="AB13" s="2" t="str" cm="1">
        <f t="array" ref="AB13">_xlfn.IFS(AA13="A", "Excellent work! Consistently strong effort and achievement.", AA13="B", "Great job! Solid understanding, keep striving for excellence.",AA13="C", "Meets expectations. Focus on improvement with subject skills.", AA13="D", "Needs improvement. Seek extra help and focus to grasp concepts.", AA13="E", "Needs more efforts. Regular attendance and focus needed.", AA13="","")</f>
        <v/>
      </c>
    </row>
    <row r="14" spans="1:31" x14ac:dyDescent="0.3">
      <c r="AB14" s="2" t="str" cm="1">
        <f t="array" ref="AB14">_xlfn.IFS(AA14="A", "Excellent work! Consistently strong effort and achievement.", AA14="B", "Great job! Solid understanding, keep striving for excellence.",AA14="C", "Meets expectations. Focus on improvement with subject skills.", AA14="D", "Needs improvement. Seek extra help and focus to grasp concepts.", AA14="E", "Needs more efforts. Regular attendance and focus needed.", AA14="","")</f>
        <v/>
      </c>
    </row>
    <row r="15" spans="1:31" x14ac:dyDescent="0.3">
      <c r="AB15" s="2" t="str" cm="1">
        <f t="array" ref="AB15">_xlfn.IFS(AA15="A", "Excellent work! Consistently strong effort and achievement.", AA15="B", "Great job! Solid understanding, keep striving for excellence.",AA15="C", "Meets expectations. Focus on improvement with subject skills.", AA15="D", "Needs improvement. Seek extra help and focus to grasp concepts.", AA15="E", "Needs more efforts. Regular attendance and focus needed.", AA15="","")</f>
        <v/>
      </c>
    </row>
    <row r="16" spans="1:31" x14ac:dyDescent="0.3">
      <c r="AB16" s="2" t="str" cm="1">
        <f t="array" ref="AB16">_xlfn.IFS(AA16="A", "Excellent work! Consistently strong effort and achievement.", AA16="B", "Great job! Solid understanding, keep striving for excellence.",AA16="C", "Meets expectations. Focus on improvement with subject skills.", AA16="D", "Needs improvement. Seek extra help and focus to grasp concepts.", AA16="E", "Needs more efforts. Regular attendance and focus needed.", AA16="","")</f>
        <v/>
      </c>
    </row>
    <row r="17" spans="28:28" x14ac:dyDescent="0.3">
      <c r="AB17" s="2" t="str" cm="1">
        <f t="array" ref="AB17">_xlfn.IFS(AA17="A", "Excellent work! Consistently strong effort and achievement.", AA17="B", "Great job! Solid understanding, keep striving for excellence.",AA17="C", "Meets expectations. Focus on improvement with subject skills.", AA17="D", "Needs improvement. Seek extra help and focus to grasp concepts.", AA17="E", "Needs more efforts. Regular attendance and focus needed.", AA17="","")</f>
        <v/>
      </c>
    </row>
    <row r="18" spans="28:28" x14ac:dyDescent="0.3">
      <c r="AB18" s="2" t="str" cm="1">
        <f t="array" ref="AB18">_xlfn.IFS(AA18="A", "Excellent work! Consistently strong effort and achievement.", AA18="B", "Great job! Solid understanding, keep striving for excellence.",AA18="C", "Meets expectations. Focus on improvement with subject skills.", AA18="D", "Needs improvement. Seek extra help and focus to grasp concepts.", AA18="E", "Needs more efforts. Regular attendance and focus needed.", AA18="","")</f>
        <v/>
      </c>
    </row>
    <row r="19" spans="28:28" x14ac:dyDescent="0.3">
      <c r="AB19" s="2" t="str" cm="1">
        <f t="array" ref="AB19">_xlfn.IFS(AA19="A", "Excellent work! Consistently strong effort and achievement.", AA19="B", "Great job! Solid understanding, keep striving for excellence.",AA19="C", "Meets expectations. Focus on improvement with subject skills.", AA19="D", "Needs improvement. Seek extra help and focus to grasp concepts.", AA19="E", "Needs more efforts. Regular attendance and focus needed.", AA19="","")</f>
        <v/>
      </c>
    </row>
    <row r="20" spans="28:28" x14ac:dyDescent="0.3">
      <c r="AB20" s="2" t="str" cm="1">
        <f t="array" ref="AB20">_xlfn.IFS(AA20="A", "Excellent work! Consistently strong effort and achievement.", AA20="B", "Great job! Solid understanding, keep striving for excellence.",AA20="C", "Meets expectations. Focus on improvement with subject skills.", AA20="D", "Needs improvement. Seek extra help and focus to grasp concepts.", AA20="E", "Needs more efforts. Regular attendance and focus needed.", AA20="","")</f>
        <v/>
      </c>
    </row>
    <row r="21" spans="28:28" x14ac:dyDescent="0.3">
      <c r="AB21" s="2" t="str" cm="1">
        <f t="array" ref="AB21">_xlfn.IFS(AA21="A", "Excellent work! Consistently strong effort and achievement.", AA21="B", "Great job! Solid understanding, keep striving for excellence.",AA21="C", "Meets expectations. Focus on improvement with subject skills.", AA21="D", "Needs improvement. Seek extra help and focus to grasp concepts.", AA21="E", "Needs more efforts. Regular attendance and focus needed.", AA21="","")</f>
        <v/>
      </c>
    </row>
    <row r="22" spans="28:28" x14ac:dyDescent="0.3">
      <c r="AB22" s="2" t="str" cm="1">
        <f t="array" ref="AB22">_xlfn.IFS(AA22="A", "Excellent work! Consistently strong effort and achievement.", AA22="B", "Great job! Solid understanding, keep striving for excellence.",AA22="C", "Meets expectations. Focus on improvement with subject skills.", AA22="D", "Needs improvement. Seek extra help and focus to grasp concepts.", AA22="E", "Needs more efforts. Regular attendance and focus needed.", AA22="","")</f>
        <v/>
      </c>
    </row>
    <row r="23" spans="28:28" x14ac:dyDescent="0.3">
      <c r="AB23" s="2" t="str" cm="1">
        <f t="array" ref="AB23">_xlfn.IFS(AA23="A", "Excellent work! Consistently strong effort and achievement.", AA23="B", "Great job! Solid understanding, keep striving for excellence.",AA23="C", "Meets expectations. Focus on improvement with subject skills.", AA23="D", "Needs improvement. Seek extra help and focus to grasp concepts.", AA23="E", "Needs more efforts. Regular attendance and focus needed.", AA23="","")</f>
        <v/>
      </c>
    </row>
    <row r="24" spans="28:28" x14ac:dyDescent="0.3">
      <c r="AB24" s="2" t="str" cm="1">
        <f t="array" ref="AB24">_xlfn.IFS(AA24="A", "Excellent work! Consistently strong effort and achievement.", AA24="B", "Great job! Solid understanding, keep striving for excellence.",AA24="C", "Meets expectations. Focus on improvement with subject skills.", AA24="D", "Needs improvement. Seek extra help and focus to grasp concepts.", AA24="E", "Needs more efforts. Regular attendance and focus needed.", AA24="","")</f>
        <v/>
      </c>
    </row>
    <row r="25" spans="28:28" x14ac:dyDescent="0.3">
      <c r="AB25" s="2" t="str" cm="1">
        <f t="array" ref="AB25">_xlfn.IFS(AA25="A", "Excellent work! Consistently strong effort and achievement.", AA25="B", "Great job! Solid understanding, keep striving for excellence.",AA25="C", "Meets expectations. Focus on improvement with subject skills.", AA25="D", "Needs improvement. Seek extra help and focus to grasp concepts.", AA25="E", "Needs more efforts. Regular attendance and focus needed.", AA25="","")</f>
        <v/>
      </c>
    </row>
    <row r="26" spans="28:28" x14ac:dyDescent="0.3">
      <c r="AB26" s="2" t="str" cm="1">
        <f t="array" ref="AB26">_xlfn.IFS(AA26="A", "Excellent work! Consistently strong effort and achievement.", AA26="B", "Great job! Solid understanding, keep striving for excellence.",AA26="C", "Meets expectations. Focus on improvement with subject skills.", AA26="D", "Needs improvement. Seek extra help and focus to grasp concepts.", AA26="E", "Needs more efforts. Regular attendance and focus needed.", AA26="","")</f>
        <v/>
      </c>
    </row>
    <row r="27" spans="28:28" x14ac:dyDescent="0.3">
      <c r="AB27" s="2" t="str" cm="1">
        <f t="array" ref="AB27">_xlfn.IFS(AA27="A", "Excellent work! Consistently strong effort and achievement.", AA27="B", "Great job! Solid understanding, keep striving for excellence.",AA27="C", "Meets expectations. Focus on improvement with subject skills.", AA27="D", "Needs improvement. Seek extra help and focus to grasp concepts.", AA27="E", "Needs more efforts. Regular attendance and focus needed.", AA27="","")</f>
        <v/>
      </c>
    </row>
    <row r="28" spans="28:28" x14ac:dyDescent="0.3">
      <c r="AB28" s="2" t="str" cm="1">
        <f t="array" ref="AB28">_xlfn.IFS(AA28="A", "Excellent work! Consistently strong effort and achievement.", AA28="B", "Great job! Solid understanding, keep striving for excellence.",AA28="C", "Meets expectations. Focus on improvement with subject skills.", AA28="D", "Needs improvement. Seek extra help and focus to grasp concepts.", AA28="E", "Needs more efforts. Regular attendance and focus needed.", AA28="","")</f>
        <v/>
      </c>
    </row>
    <row r="29" spans="28:28" x14ac:dyDescent="0.3">
      <c r="AB29" s="2" t="str" cm="1">
        <f t="array" ref="AB29">_xlfn.IFS(AA29="A", "Excellent work! Consistently strong effort and achievement.", AA29="B", "Great job! Solid understanding, keep striving for excellence.",AA29="C", "Meets expectations. Focus on improvement with subject skills.", AA29="D", "Needs improvement. Seek extra help and focus to grasp concepts.", AA29="E", "Needs more efforts. Regular attendance and focus needed.", AA29="","")</f>
        <v/>
      </c>
    </row>
    <row r="30" spans="28:28" x14ac:dyDescent="0.3">
      <c r="AB30" s="2" t="str" cm="1">
        <f t="array" ref="AB30">_xlfn.IFS(AA30="A", "Excellent work! Consistently strong effort and achievement.", AA30="B", "Great job! Solid understanding, keep striving for excellence.",AA30="C", "Meets expectations. Focus on improvement with subject skills.", AA30="D", "Needs improvement. Seek extra help and focus to grasp concepts.", AA30="E", "Needs more efforts. Regular attendance and focus needed.", AA30="","")</f>
        <v/>
      </c>
    </row>
    <row r="31" spans="28:28" x14ac:dyDescent="0.3">
      <c r="AB31" s="2" t="str" cm="1">
        <f t="array" ref="AB31">_xlfn.IFS(AA31="A", "Excellent work! Consistently strong effort and achievement.", AA31="B", "Great job! Solid understanding, keep striving for excellence.",AA31="C", "Meets expectations. Focus on improvement with subject skills.", AA31="D", "Needs improvement. Seek extra help and focus to grasp concepts.", AA31="E", "Needs more efforts. Regular attendance and focus needed.", AA31="","")</f>
        <v/>
      </c>
    </row>
    <row r="32" spans="28:28" x14ac:dyDescent="0.3">
      <c r="AB32" s="2" t="str" cm="1">
        <f t="array" ref="AB32">_xlfn.IFS(AA32="A", "Excellent work! Consistently strong effort and achievement.", AA32="B", "Great job! Solid understanding, keep striving for excellence.",AA32="C", "Meets expectations. Focus on improvement with subject skills.", AA32="D", "Needs improvement. Seek extra help and focus to grasp concepts.", AA32="E", "Needs more efforts. Regular attendance and focus needed.", AA32="","")</f>
        <v/>
      </c>
    </row>
    <row r="33" spans="28:28" x14ac:dyDescent="0.3">
      <c r="AB33" s="2" t="str" cm="1">
        <f t="array" ref="AB33">_xlfn.IFS(AA33="A", "Excellent work! Consistently strong effort and achievement.", AA33="B", "Great job! Solid understanding, keep striving for excellence.",AA33="C", "Meets expectations. Focus on improvement with subject skills.", AA33="D", "Needs improvement. Seek extra help and focus to grasp concepts.", AA33="E", "Needs more efforts. Regular attendance and focus needed.", AA33="","")</f>
        <v/>
      </c>
    </row>
    <row r="34" spans="28:28" x14ac:dyDescent="0.3">
      <c r="AB34" s="2" t="str" cm="1">
        <f t="array" ref="AB34">_xlfn.IFS(AA34="A", "Excellent work! Consistently strong effort and achievement.", AA34="B", "Great job! Solid understanding, keep striving for excellence.",AA34="C", "Meets expectations. Focus on improvement with subject skills.", AA34="D", "Needs improvement. Seek extra help and focus to grasp concepts.", AA34="E", "Needs more efforts. Regular attendance and focus needed.", AA34="","")</f>
        <v/>
      </c>
    </row>
    <row r="35" spans="28:28" x14ac:dyDescent="0.3">
      <c r="AB35" s="2" t="str" cm="1">
        <f t="array" ref="AB35">_xlfn.IFS(AA35="A", "Excellent work! Consistently strong effort and achievement.", AA35="B", "Great job! Solid understanding, keep striving for excellence.",AA35="C", "Meets expectations. Focus on improvement with subject skills.", AA35="D", "Needs improvement. Seek extra help and focus to grasp concepts.", AA35="E", "Needs more efforts. Regular attendance and focus needed.", AA35="","")</f>
        <v/>
      </c>
    </row>
    <row r="36" spans="28:28" x14ac:dyDescent="0.3">
      <c r="AB36" s="2" t="str" cm="1">
        <f t="array" ref="AB36">_xlfn.IFS(AA36="A", "Excellent work! Consistently strong effort and achievement.", AA36="B", "Great job! Solid understanding, keep striving for excellence.",AA36="C", "Meets expectations. Focus on improvement with subject skills.", AA36="D", "Needs improvement. Seek extra help and focus to grasp concepts.", AA36="E", "Needs more efforts. Regular attendance and focus needed.", AA36="","")</f>
        <v/>
      </c>
    </row>
    <row r="37" spans="28:28" x14ac:dyDescent="0.3">
      <c r="AB37" s="2" t="str" cm="1">
        <f t="array" ref="AB37">_xlfn.IFS(AA37="A", "Excellent work! Consistently strong effort and achievement.", AA37="B", "Great job! Solid understanding, keep striving for excellence.",AA37="C", "Meets expectations. Focus on improvement with subject skills.", AA37="D", "Needs improvement. Seek extra help and focus to grasp concepts.", AA37="E", "Needs more efforts. Regular attendance and focus needed.", AA37="","")</f>
        <v/>
      </c>
    </row>
    <row r="38" spans="28:28" x14ac:dyDescent="0.3">
      <c r="AB38" s="2" t="str" cm="1">
        <f t="array" ref="AB38">_xlfn.IFS(AA38="A", "Excellent work! Consistently strong effort and achievement.", AA38="B", "Great job! Solid understanding, keep striving for excellence.",AA38="C", "Meets expectations. Focus on improvement with subject skills.", AA38="D", "Needs improvement. Seek extra help and focus to grasp concepts.", AA38="E", "Needs more efforts. Regular attendance and focus needed.", AA38="","")</f>
        <v/>
      </c>
    </row>
    <row r="39" spans="28:28" x14ac:dyDescent="0.3">
      <c r="AB39" s="2" t="str" cm="1">
        <f t="array" ref="AB39">_xlfn.IFS(AA39="A", "Excellent work! Consistently strong effort and achievement.", AA39="B", "Great job! Solid understanding, keep striving for excellence.",AA39="C", "Meets expectations. Focus on improvement with subject skills.", AA39="D", "Needs improvement. Seek extra help and focus to grasp concepts.", AA39="E", "Needs more efforts. Regular attendance and focus needed.", AA39="","")</f>
        <v/>
      </c>
    </row>
    <row r="40" spans="28:28" x14ac:dyDescent="0.3">
      <c r="AB40" s="2" t="str" cm="1">
        <f t="array" ref="AB40">_xlfn.IFS(AA40="A", "Excellent work! Consistently strong effort and achievement.", AA40="B", "Great job! Solid understanding, keep striving for excellence.",AA40="C", "Meets expectations. Focus on improvement with subject skills.", AA40="D", "Needs improvement. Seek extra help and focus to grasp concepts.", AA40="E", "Needs more efforts. Regular attendance and focus needed.", AA40="","")</f>
        <v/>
      </c>
    </row>
    <row r="41" spans="28:28" x14ac:dyDescent="0.3">
      <c r="AB41" s="2" t="str" cm="1">
        <f t="array" ref="AB41">_xlfn.IFS(AA41="A", "Excellent work! Consistently strong effort and achievement.", AA41="B", "Great job! Solid understanding, keep striving for excellence.",AA41="C", "Meets expectations. Focus on improvement with subject skills.", AA41="D", "Needs improvement. Seek extra help and focus to grasp concepts.", AA41="E", "Needs more efforts. Regular attendance and focus needed.", AA41="","")</f>
        <v/>
      </c>
    </row>
    <row r="42" spans="28:28" x14ac:dyDescent="0.3">
      <c r="AB42" s="2" t="str" cm="1">
        <f t="array" ref="AB42">_xlfn.IFS(AA42="A", "Excellent work! Consistently strong effort and achievement.", AA42="B", "Great job! Solid understanding, keep striving for excellence.",AA42="C", "Meets expectations. Focus on improvement with subject skills.", AA42="D", "Needs improvement. Seek extra help and focus to grasp concepts.", AA42="E", "Needs more efforts. Regular attendance and focus needed.", AA42="","")</f>
        <v/>
      </c>
    </row>
    <row r="43" spans="28:28" x14ac:dyDescent="0.3">
      <c r="AB43" s="2" t="str" cm="1">
        <f t="array" ref="AB43">_xlfn.IFS(AA43="A", "Excellent work! Consistently strong effort and achievement.", AA43="B", "Great job! Solid understanding, keep striving for excellence.",AA43="C", "Meets expectations. Focus on improvement with subject skills.", AA43="D", "Needs improvement. Seek extra help and focus to grasp concepts.", AA43="E", "Needs more efforts. Regular attendance and focus needed.", AA43="","")</f>
        <v/>
      </c>
    </row>
    <row r="44" spans="28:28" x14ac:dyDescent="0.3">
      <c r="AB44" s="2" t="str" cm="1">
        <f t="array" ref="AB44">_xlfn.IFS(AA44="A", "Excellent work! Consistently strong effort and achievement.", AA44="B", "Great job! Solid understanding, keep striving for excellence.",AA44="C", "Meets expectations. Focus on improvement with subject skills.", AA44="D", "Needs improvement. Seek extra help and focus to grasp concepts.", AA44="E", "Needs more efforts. Regular attendance and focus needed.", AA44="","")</f>
        <v/>
      </c>
    </row>
    <row r="45" spans="28:28" x14ac:dyDescent="0.3">
      <c r="AB45" s="2" t="str" cm="1">
        <f t="array" ref="AB45">_xlfn.IFS(AA45="A", "Excellent work! Consistently strong effort and achievement.", AA45="B", "Great job! Solid understanding, keep striving for excellence.",AA45="C", "Meets expectations. Focus on improvement with subject skills.", AA45="D", "Needs improvement. Seek extra help and focus to grasp concepts.", AA45="E", "Needs more efforts. Regular attendance and focus needed.", AA45="","")</f>
        <v/>
      </c>
    </row>
    <row r="46" spans="28:28" x14ac:dyDescent="0.3">
      <c r="AB46" s="2" t="str" cm="1">
        <f t="array" ref="AB46">_xlfn.IFS(AA46="A", "Excellent work! Consistently strong effort and achievement.", AA46="B", "Great job! Solid understanding, keep striving for excellence.",AA46="C", "Meets expectations. Focus on improvement with subject skills.", AA46="D", "Needs improvement. Seek extra help and focus to grasp concepts.", AA46="E", "Needs more efforts. Regular attendance and focus needed.", AA46="","")</f>
        <v/>
      </c>
    </row>
    <row r="47" spans="28:28" x14ac:dyDescent="0.3">
      <c r="AB47" s="2" t="str" cm="1">
        <f t="array" ref="AB47">_xlfn.IFS(AA47="A", "Excellent work! Consistently strong effort and achievement.", AA47="B", "Great job! Solid understanding, keep striving for excellence.",AA47="C", "Meets expectations. Focus on improvement with subject skills.", AA47="D", "Needs improvement. Seek extra help and focus to grasp concepts.", AA47="E", "Needs more efforts. Regular attendance and focus needed.", AA47="","")</f>
        <v/>
      </c>
    </row>
    <row r="48" spans="28:28" x14ac:dyDescent="0.3">
      <c r="AB48" s="2" t="str" cm="1">
        <f t="array" ref="AB48">_xlfn.IFS(AA48="A", "Excellent work! Consistently strong effort and achievement.", AA48="B", "Great job! Solid understanding, keep striving for excellence.",AA48="C", "Meets expectations. Focus on improvement with subject skills.", AA48="D", "Needs improvement. Seek extra help and focus to grasp concepts.", AA48="E", "Needs more efforts. Regular attendance and focus needed.", AA48="","")</f>
        <v/>
      </c>
    </row>
    <row r="49" spans="28:28" x14ac:dyDescent="0.3">
      <c r="AB49" s="2" t="str" cm="1">
        <f t="array" ref="AB49">_xlfn.IFS(AA49="A", "Excellent work! Consistently strong effort and achievement.", AA49="B", "Great job! Solid understanding, keep striving for excellence.",AA49="C", "Meets expectations. Focus on improvement with subject skills.", AA49="D", "Needs improvement. Seek extra help and focus to grasp concepts.", AA49="E", "Needs more efforts. Regular attendance and focus needed.", AA49="","")</f>
        <v/>
      </c>
    </row>
    <row r="50" spans="28:28" x14ac:dyDescent="0.3">
      <c r="AB50" s="2" t="str" cm="1">
        <f t="array" ref="AB50">_xlfn.IFS(AA50="A", "Excellent work! Consistently strong effort and achievement.", AA50="B", "Great job! Solid understanding, keep striving for excellence.",AA50="C", "Meets expectations. Focus on improvement with subject skills.", AA50="D", "Needs improvement. Seek extra help and focus to grasp concepts.", AA50="E", "Needs more efforts. Regular attendance and focus needed.", AA50="","")</f>
        <v/>
      </c>
    </row>
    <row r="51" spans="28:28" x14ac:dyDescent="0.3">
      <c r="AB51" s="2" t="str" cm="1">
        <f t="array" ref="AB51">_xlfn.IFS(AA51="A", "Excellent work! Consistently strong effort and achievement.", AA51="B", "Great job! Solid understanding, keep striving for excellence.",AA51="C", "Meets expectations. Focus on improvement with subject skills.", AA51="D", "Needs improvement. Seek extra help and focus to grasp concepts.", AA51="E", "Needs more efforts. Regular attendance and focus needed.", AA51="","")</f>
        <v/>
      </c>
    </row>
    <row r="52" spans="28:28" x14ac:dyDescent="0.3">
      <c r="AB52" s="2" t="str" cm="1">
        <f t="array" ref="AB52">_xlfn.IFS(AA52="A", "Excellent work! Consistently strong effort and achievement.", AA52="B", "Great job! Solid understanding, keep striving for excellence.",AA52="C", "Meets expectations. Focus on improvement with subject skills.", AA52="D", "Needs improvement. Seek extra help and focus to grasp concepts.", AA52="E", "Needs more efforts. Regular attendance and focus needed.", AA52="","")</f>
        <v/>
      </c>
    </row>
    <row r="53" spans="28:28" x14ac:dyDescent="0.3">
      <c r="AB53" s="2" t="str" cm="1">
        <f t="array" ref="AB53">_xlfn.IFS(AA53="A", "Excellent work! Consistently strong effort and achievement.", AA53="B", "Great job! Solid understanding, keep striving for excellence.",AA53="C", "Meets expectations. Focus on improvement with subject skills.", AA53="D", "Needs improvement. Seek extra help and focus to grasp concepts.", AA53="E", "Needs more efforts. Regular attendance and focus needed.", AA53="","")</f>
        <v/>
      </c>
    </row>
    <row r="54" spans="28:28" x14ac:dyDescent="0.3">
      <c r="AB54" s="2" t="str" cm="1">
        <f t="array" ref="AB54">_xlfn.IFS(AA54="A", "Excellent work! Consistently strong effort and achievement.", AA54="B", "Great job! Solid understanding, keep striving for excellence.",AA54="C", "Meets expectations. Focus on improvement with subject skills.", AA54="D", "Needs improvement. Seek extra help and focus to grasp concepts.", AA54="E", "Needs more efforts. Regular attendance and focus needed.", AA54="","")</f>
        <v/>
      </c>
    </row>
    <row r="55" spans="28:28" x14ac:dyDescent="0.3">
      <c r="AB55" s="2" t="str" cm="1">
        <f t="array" ref="AB55">_xlfn.IFS(AA55="A", "Excellent work! Consistently strong effort and achievement.", AA55="B", "Great job! Solid understanding, keep striving for excellence.",AA55="C", "Meets expectations. Focus on improvement with subject skills.", AA55="D", "Needs improvement. Seek extra help and focus to grasp concepts.", AA55="E", "Needs more efforts. Regular attendance and focus needed.", AA55="","")</f>
        <v/>
      </c>
    </row>
    <row r="56" spans="28:28" x14ac:dyDescent="0.3">
      <c r="AB56" s="2" t="str" cm="1">
        <f t="array" ref="AB56">_xlfn.IFS(AA56="A", "Excellent work! Consistently strong effort and achievement.", AA56="B", "Great job! Solid understanding, keep striving for excellence.",AA56="C", "Meets expectations. Focus on improvement with subject skills.", AA56="D", "Needs improvement. Seek extra help and focus to grasp concepts.", AA56="E", "Needs more efforts. Regular attendance and focus needed.", AA56="","")</f>
        <v/>
      </c>
    </row>
    <row r="57" spans="28:28" x14ac:dyDescent="0.3">
      <c r="AB57" s="2" t="str" cm="1">
        <f t="array" ref="AB57">_xlfn.IFS(AA57="A", "Excellent work! Consistently strong effort and achievement.", AA57="B", "Great job! Solid understanding, keep striving for excellence.",AA57="C", "Meets expectations. Focus on improvement with subject skills.", AA57="D", "Needs improvement. Seek extra help and focus to grasp concepts.", AA57="E", "Needs more efforts. Regular attendance and focus needed.", AA57="","")</f>
        <v/>
      </c>
    </row>
    <row r="58" spans="28:28" x14ac:dyDescent="0.3">
      <c r="AB58" s="2" t="str" cm="1">
        <f t="array" ref="AB58">_xlfn.IFS(AA58="A", "Excellent work! Consistently strong effort and achievement.", AA58="B", "Great job! Solid understanding, keep striving for excellence.",AA58="C", "Meets expectations. Focus on improvement with subject skills.", AA58="D", "Needs improvement. Seek extra help and focus to grasp concepts.", AA58="E", "Needs more efforts. Regular attendance and focus needed.", AA58="","")</f>
        <v/>
      </c>
    </row>
    <row r="59" spans="28:28" x14ac:dyDescent="0.3">
      <c r="AB59" s="2" t="str" cm="1">
        <f t="array" ref="AB59">_xlfn.IFS(AA59="A", "Excellent work! Consistently strong effort and achievement.", AA59="B", "Great job! Solid understanding, keep striving for excellence.",AA59="C", "Meets expectations. Focus on improvement with subject skills.", AA59="D", "Needs improvement. Seek extra help and focus to grasp concepts.", AA59="E", "Needs more efforts. Regular attendance and focus needed.", AA59="","")</f>
        <v/>
      </c>
    </row>
    <row r="60" spans="28:28" x14ac:dyDescent="0.3">
      <c r="AB60" s="2" t="str" cm="1">
        <f t="array" ref="AB60">_xlfn.IFS(AA60="A", "Excellent work! Consistently strong effort and achievement.", AA60="B", "Great job! Solid understanding, keep striving for excellence.",AA60="C", "Meets expectations. Focus on improvement with subject skills.", AA60="D", "Needs improvement. Seek extra help and focus to grasp concepts.", AA60="E", "Needs more efforts. Regular attendance and focus needed.", AA60="","")</f>
        <v/>
      </c>
    </row>
    <row r="61" spans="28:28" x14ac:dyDescent="0.3">
      <c r="AB61" s="2" t="str" cm="1">
        <f t="array" ref="AB61">_xlfn.IFS(AA61="A", "Excellent work! Consistently strong effort and achievement.", AA61="B", "Great job! Solid understanding, keep striving for excellence.",AA61="C", "Meets expectations. Focus on improvement with subject skills.", AA61="D", "Needs improvement. Seek extra help and focus to grasp concepts.", AA61="E", "Needs more efforts. Regular attendance and focus needed.", AA61="","")</f>
        <v/>
      </c>
    </row>
    <row r="62" spans="28:28" x14ac:dyDescent="0.3">
      <c r="AB62" s="2" t="str" cm="1">
        <f t="array" ref="AB62">_xlfn.IFS(AA62="A", "Excellent work! Consistently strong effort and achievement.", AA62="B", "Great job! Solid understanding, keep striving for excellence.",AA62="C", "Meets expectations. Focus on improvement with subject skills.", AA62="D", "Needs improvement. Seek extra help and focus to grasp concepts.", AA62="E", "Needs more efforts. Regular attendance and focus needed.", AA62="","")</f>
        <v/>
      </c>
    </row>
    <row r="63" spans="28:28" x14ac:dyDescent="0.3">
      <c r="AB63" s="2" t="str" cm="1">
        <f t="array" ref="AB63">_xlfn.IFS(AA63="A", "Excellent work! Consistently strong effort and achievement.", AA63="B", "Great job! Solid understanding, keep striving for excellence.",AA63="C", "Meets expectations. Focus on improvement with subject skills.", AA63="D", "Needs improvement. Seek extra help and focus to grasp concepts.", AA63="E", "Needs more efforts. Regular attendance and focus needed.", AA63="","")</f>
        <v/>
      </c>
    </row>
    <row r="64" spans="28:28" x14ac:dyDescent="0.3">
      <c r="AB64" s="2" t="str" cm="1">
        <f t="array" ref="AB64">_xlfn.IFS(AA64="A", "Excellent work! Consistently strong effort and achievement.", AA64="B", "Great job! Solid understanding, keep striving for excellence.",AA64="C", "Meets expectations. Focus on improvement with subject skills.", AA64="D", "Needs improvement. Seek extra help and focus to grasp concepts.", AA64="E", "Needs more efforts. Regular attendance and focus needed.", AA64="","")</f>
        <v/>
      </c>
    </row>
    <row r="65" spans="28:28" x14ac:dyDescent="0.3">
      <c r="AB65" s="2" t="str" cm="1">
        <f t="array" ref="AB65">_xlfn.IFS(AA65="A", "Excellent work! Consistently strong effort and achievement.", AA65="B", "Great job! Solid understanding, keep striving for excellence.",AA65="C", "Meets expectations. Focus on improvement with subject skills.", AA65="D", "Needs improvement. Seek extra help and focus to grasp concepts.", AA65="E", "Needs more efforts. Regular attendance and focus needed.", AA65="","")</f>
        <v/>
      </c>
    </row>
    <row r="66" spans="28:28" x14ac:dyDescent="0.3">
      <c r="AB66" s="2" t="str" cm="1">
        <f t="array" ref="AB66">_xlfn.IFS(AA66="A", "Excellent work! Consistently strong effort and achievement.", AA66="B", "Great job! Solid understanding, keep striving for excellence.",AA66="C", "Meets expectations. Focus on improvement with subject skills.", AA66="D", "Needs improvement. Seek extra help and focus to grasp concepts.", AA66="E", "Needs more efforts. Regular attendance and focus needed.", AA66="","")</f>
        <v/>
      </c>
    </row>
    <row r="67" spans="28:28" x14ac:dyDescent="0.3">
      <c r="AB67" s="2" t="str" cm="1">
        <f t="array" ref="AB67">_xlfn.IFS(AA67="A", "Excellent work! Consistently strong effort and achievement.", AA67="B", "Great job! Solid understanding, keep striving for excellence.",AA67="C", "Meets expectations. Focus on improvement with subject skills.", AA67="D", "Needs improvement. Seek extra help and focus to grasp concepts.", AA67="E", "Needs more efforts. Regular attendance and focus needed.", AA67="","")</f>
        <v/>
      </c>
    </row>
    <row r="68" spans="28:28" x14ac:dyDescent="0.3">
      <c r="AB68" s="2" t="str" cm="1">
        <f t="array" ref="AB68">_xlfn.IFS(AA68="A", "Excellent work! Consistently strong effort and achievement.", AA68="B", "Great job! Solid understanding, keep striving for excellence.",AA68="C", "Meets expectations. Focus on improvement with subject skills.", AA68="D", "Needs improvement. Seek extra help and focus to grasp concepts.", AA68="E", "Needs more efforts. Regular attendance and focus needed.", AA68="","")</f>
        <v/>
      </c>
    </row>
    <row r="69" spans="28:28" x14ac:dyDescent="0.3">
      <c r="AB69" s="2" t="str" cm="1">
        <f t="array" ref="AB69">_xlfn.IFS(AA69="A", "Excellent work! Consistently strong effort and achievement.", AA69="B", "Great job! Solid understanding, keep striving for excellence.",AA69="C", "Meets expectations. Focus on improvement with subject skills.", AA69="D", "Needs improvement. Seek extra help and focus to grasp concepts.", AA69="E", "Needs more efforts. Regular attendance and focus needed.", AA69="","")</f>
        <v/>
      </c>
    </row>
    <row r="70" spans="28:28" x14ac:dyDescent="0.3">
      <c r="AB70" s="2" t="str" cm="1">
        <f t="array" ref="AB70">_xlfn.IFS(AA70="A", "Excellent work! Consistently strong effort and achievement.", AA70="B", "Great job! Solid understanding, keep striving for excellence.",AA70="C", "Meets expectations. Focus on improvement with subject skills.", AA70="D", "Needs improvement. Seek extra help and focus to grasp concepts.", AA70="E", "Needs more efforts. Regular attendance and focus needed.", AA70="","")</f>
        <v/>
      </c>
    </row>
    <row r="71" spans="28:28" x14ac:dyDescent="0.3">
      <c r="AB71" s="2" t="str" cm="1">
        <f t="array" ref="AB71">_xlfn.IFS(AA71="A", "Excellent work! Consistently strong effort and achievement.", AA71="B", "Great job! Solid understanding, keep striving for excellence.",AA71="C", "Meets expectations. Focus on improvement with subject skills.", AA71="D", "Needs improvement. Seek extra help and focus to grasp concepts.", AA71="E", "Needs more efforts. Regular attendance and focus needed.", AA71="","")</f>
        <v/>
      </c>
    </row>
    <row r="72" spans="28:28" x14ac:dyDescent="0.3">
      <c r="AB72" s="2" t="str" cm="1">
        <f t="array" ref="AB72">_xlfn.IFS(AA72="A", "Excellent work! Consistently strong effort and achievement.", AA72="B", "Great job! Solid understanding, keep striving for excellence.",AA72="C", "Meets expectations. Focus on improvement with subject skills.", AA72="D", "Needs improvement. Seek extra help and focus to grasp concepts.", AA72="E", "Needs more efforts. Regular attendance and focus needed.", AA72="","")</f>
        <v/>
      </c>
    </row>
    <row r="73" spans="28:28" x14ac:dyDescent="0.3">
      <c r="AB73" s="2" t="str" cm="1">
        <f t="array" ref="AB73">_xlfn.IFS(AA73="A", "Excellent work! Consistently strong effort and achievement.", AA73="B", "Great job! Solid understanding, keep striving for excellence.",AA73="C", "Meets expectations. Focus on improvement with subject skills.", AA73="D", "Needs improvement. Seek extra help and focus to grasp concepts.", AA73="E", "Needs more efforts. Regular attendance and focus needed.", AA73="","")</f>
        <v/>
      </c>
    </row>
    <row r="74" spans="28:28" x14ac:dyDescent="0.3">
      <c r="AB74" s="2" t="str" cm="1">
        <f t="array" ref="AB74">_xlfn.IFS(AA74="A", "Excellent work! Consistently strong effort and achievement.", AA74="B", "Great job! Solid understanding, keep striving for excellence.",AA74="C", "Meets expectations. Focus on improvement with subject skills.", AA74="D", "Needs improvement. Seek extra help and focus to grasp concepts.", AA74="E", "Needs more efforts. Regular attendance and focus needed.", AA74="","")</f>
        <v/>
      </c>
    </row>
    <row r="75" spans="28:28" x14ac:dyDescent="0.3">
      <c r="AB75" s="2" t="str" cm="1">
        <f t="array" ref="AB75">_xlfn.IFS(AA75="A", "Excellent work! Consistently strong effort and achievement.", AA75="B", "Great job! Solid understanding, keep striving for excellence.",AA75="C", "Meets expectations. Focus on improvement with subject skills.", AA75="D", "Needs improvement. Seek extra help and focus to grasp concepts.", AA75="E", "Needs more efforts. Regular attendance and focus needed.", AA75="","")</f>
        <v/>
      </c>
    </row>
    <row r="76" spans="28:28" x14ac:dyDescent="0.3">
      <c r="AB76" s="2" t="str" cm="1">
        <f t="array" ref="AB76">_xlfn.IFS(AA76="A", "Excellent work! Consistently strong effort and achievement.", AA76="B", "Great job! Solid understanding, keep striving for excellence.",AA76="C", "Meets expectations. Focus on improvement with subject skills.", AA76="D", "Needs improvement. Seek extra help and focus to grasp concepts.", AA76="E", "Needs more efforts. Regular attendance and focus needed.", AA76="","")</f>
        <v/>
      </c>
    </row>
    <row r="77" spans="28:28" x14ac:dyDescent="0.3">
      <c r="AB77" s="2" t="str" cm="1">
        <f t="array" ref="AB77">_xlfn.IFS(AA77="A", "Excellent work! Consistently strong effort and achievement.", AA77="B", "Great job! Solid understanding, keep striving for excellence.",AA77="C", "Meets expectations. Focus on improvement with subject skills.", AA77="D", "Needs improvement. Seek extra help and focus to grasp concepts.", AA77="E", "Needs more efforts. Regular attendance and focus needed.", AA77="","")</f>
        <v/>
      </c>
    </row>
    <row r="78" spans="28:28" x14ac:dyDescent="0.3">
      <c r="AB78" s="2" t="str" cm="1">
        <f t="array" ref="AB78">_xlfn.IFS(AA78="A", "Excellent work! Consistently strong effort and achievement.", AA78="B", "Great job! Solid understanding, keep striving for excellence.",AA78="C", "Meets expectations. Focus on improvement with subject skills.", AA78="D", "Needs improvement. Seek extra help and focus to grasp concepts.", AA78="E", "Needs more efforts. Regular attendance and focus needed.", AA78="","")</f>
        <v/>
      </c>
    </row>
    <row r="79" spans="28:28" x14ac:dyDescent="0.3">
      <c r="AB79" s="2" t="str" cm="1">
        <f t="array" ref="AB79">_xlfn.IFS(AA79="A", "Excellent work! Consistently strong effort and achievement.", AA79="B", "Great job! Solid understanding, keep striving for excellence.",AA79="C", "Meets expectations. Focus on improvement with subject skills.", AA79="D", "Needs improvement. Seek extra help and focus to grasp concepts.", AA79="E", "Needs more efforts. Regular attendance and focus needed.", AA79="","")</f>
        <v/>
      </c>
    </row>
    <row r="80" spans="28:28" x14ac:dyDescent="0.3">
      <c r="AB80" s="2" t="str" cm="1">
        <f t="array" ref="AB80">_xlfn.IFS(AA80="A", "Excellent work! Consistently strong effort and achievement.", AA80="B", "Great job! Solid understanding, keep striving for excellence.",AA80="C", "Meets expectations. Focus on improvement with subject skills.", AA80="D", "Needs improvement. Seek extra help and focus to grasp concepts.", AA80="E", "Needs more efforts. Regular attendance and focus needed.", AA80="","")</f>
        <v/>
      </c>
    </row>
    <row r="81" spans="28:28" x14ac:dyDescent="0.3">
      <c r="AB81" s="2" t="str" cm="1">
        <f t="array" ref="AB81">_xlfn.IFS(AA81="A", "Excellent work! Consistently strong effort and achievement.", AA81="B", "Great job! Solid understanding, keep striving for excellence.",AA81="C", "Meets expectations. Focus on improvement with subject skills.", AA81="D", "Needs improvement. Seek extra help and focus to grasp concepts.", AA81="E", "Needs more efforts. Regular attendance and focus needed.", AA81="","")</f>
        <v/>
      </c>
    </row>
    <row r="82" spans="28:28" x14ac:dyDescent="0.3">
      <c r="AB82" s="2" t="str" cm="1">
        <f t="array" ref="AB82">_xlfn.IFS(AA82="A", "Excellent work! Consistently strong effort and achievement.", AA82="B", "Great job! Solid understanding, keep striving for excellence.",AA82="C", "Meets expectations. Focus on improvement with subject skills.", AA82="D", "Needs improvement. Seek extra help and focus to grasp concepts.", AA82="E", "Needs more efforts. Regular attendance and focus needed.", AA82="","")</f>
        <v/>
      </c>
    </row>
    <row r="83" spans="28:28" x14ac:dyDescent="0.3">
      <c r="AB83" s="2" t="str" cm="1">
        <f t="array" ref="AB83">_xlfn.IFS(AA83="A", "Excellent work! Consistently strong effort and achievement.", AA83="B", "Great job! Solid understanding, keep striving for excellence.",AA83="C", "Meets expectations. Focus on improvement with subject skills.", AA83="D", "Needs improvement. Seek extra help and focus to grasp concepts.", AA83="E", "Needs more efforts. Regular attendance and focus needed.", AA83="","")</f>
        <v/>
      </c>
    </row>
    <row r="84" spans="28:28" x14ac:dyDescent="0.3">
      <c r="AB84" s="2" t="str" cm="1">
        <f t="array" ref="AB84">_xlfn.IFS(AA84="A", "Excellent work! Consistently strong effort and achievement.", AA84="B", "Great job! Solid understanding, keep striving for excellence.",AA84="C", "Meets expectations. Focus on improvement with subject skills.", AA84="D", "Needs improvement. Seek extra help and focus to grasp concepts.", AA84="E", "Needs more efforts. Regular attendance and focus needed.", AA84="","")</f>
        <v/>
      </c>
    </row>
    <row r="85" spans="28:28" x14ac:dyDescent="0.3">
      <c r="AB85" s="2" t="str" cm="1">
        <f t="array" ref="AB85">_xlfn.IFS(AA85="A", "Excellent work! Consistently strong effort and achievement.", AA85="B", "Great job! Solid understanding, keep striving for excellence.",AA85="C", "Meets expectations. Focus on improvement with subject skills.", AA85="D", "Needs improvement. Seek extra help and focus to grasp concepts.", AA85="E", "Needs more efforts. Regular attendance and focus needed.", AA85="","")</f>
        <v/>
      </c>
    </row>
    <row r="86" spans="28:28" x14ac:dyDescent="0.3">
      <c r="AB86" s="2" t="str" cm="1">
        <f t="array" ref="AB86">_xlfn.IFS(AA86="A", "Excellent work! Consistently strong effort and achievement.", AA86="B", "Great job! Solid understanding, keep striving for excellence.",AA86="C", "Meets expectations. Focus on improvement with subject skills.", AA86="D", "Needs improvement. Seek extra help and focus to grasp concepts.", AA86="E", "Needs more efforts. Regular attendance and focus needed.", AA86="","")</f>
        <v/>
      </c>
    </row>
    <row r="87" spans="28:28" x14ac:dyDescent="0.3">
      <c r="AB87" s="2" t="str" cm="1">
        <f t="array" ref="AB87">_xlfn.IFS(AA87="A", "Excellent work! Consistently strong effort and achievement.", AA87="B", "Great job! Solid understanding, keep striving for excellence.",AA87="C", "Meets expectations. Focus on improvement with subject skills.", AA87="D", "Needs improvement. Seek extra help and focus to grasp concepts.", AA87="E", "Needs more efforts. Regular attendance and focus needed.", AA87="","")</f>
        <v/>
      </c>
    </row>
    <row r="88" spans="28:28" x14ac:dyDescent="0.3">
      <c r="AB88" s="2" t="str" cm="1">
        <f t="array" ref="AB88">_xlfn.IFS(AA88="A", "Excellent work! Consistently strong effort and achievement.", AA88="B", "Great job! Solid understanding, keep striving for excellence.",AA88="C", "Meets expectations. Focus on improvement with subject skills.", AA88="D", "Needs improvement. Seek extra help and focus to grasp concepts.", AA88="E", "Needs more efforts. Regular attendance and focus needed.", AA88="","")</f>
        <v/>
      </c>
    </row>
    <row r="89" spans="28:28" x14ac:dyDescent="0.3">
      <c r="AB89" s="2" t="str" cm="1">
        <f t="array" ref="AB89">_xlfn.IFS(AA89="A", "Excellent work! Consistently strong effort and achievement.", AA89="B", "Great job! Solid understanding, keep striving for excellence.",AA89="C", "Meets expectations. Focus on improvement with subject skills.", AA89="D", "Needs improvement. Seek extra help and focus to grasp concepts.", AA89="E", "Needs more efforts. Regular attendance and focus needed.", AA89="","")</f>
        <v/>
      </c>
    </row>
    <row r="90" spans="28:28" x14ac:dyDescent="0.3">
      <c r="AB90" s="2" t="str" cm="1">
        <f t="array" ref="AB90">_xlfn.IFS(AA90="A", "Excellent work! Consistently strong effort and achievement.", AA90="B", "Great job! Solid understanding, keep striving for excellence.",AA90="C", "Meets expectations. Focus on improvement with subject skills.", AA90="D", "Needs improvement. Seek extra help and focus to grasp concepts.", AA90="E", "Needs more efforts. Regular attendance and focus needed.", AA90="","")</f>
        <v/>
      </c>
    </row>
    <row r="91" spans="28:28" x14ac:dyDescent="0.3">
      <c r="AB91" s="2" t="str" cm="1">
        <f t="array" ref="AB91">_xlfn.IFS(AA91="A", "Excellent work! Consistently strong effort and achievement.", AA91="B", "Great job! Solid understanding, keep striving for excellence.",AA91="C", "Meets expectations. Focus on improvement with subject skills.", AA91="D", "Needs improvement. Seek extra help and focus to grasp concepts.", AA91="E", "Needs more efforts. Regular attendance and focus needed.", AA91="","")</f>
        <v/>
      </c>
    </row>
    <row r="92" spans="28:28" x14ac:dyDescent="0.3">
      <c r="AB92" s="2" t="str" cm="1">
        <f t="array" ref="AB92">_xlfn.IFS(AA92="A", "Excellent work! Consistently strong effort and achievement.", AA92="B", "Great job! Solid understanding, keep striving for excellence.",AA92="C", "Meets expectations. Focus on improvement with subject skills.", AA92="D", "Needs improvement. Seek extra help and focus to grasp concepts.", AA92="E", "Needs more efforts. Regular attendance and focus needed.", AA92="","")</f>
        <v/>
      </c>
    </row>
    <row r="93" spans="28:28" x14ac:dyDescent="0.3">
      <c r="AB93" s="2" t="str" cm="1">
        <f t="array" ref="AB93">_xlfn.IFS(AA93="A", "Excellent work! Consistently strong effort and achievement.", AA93="B", "Great job! Solid understanding, keep striving for excellence.",AA93="C", "Meets expectations. Focus on improvement with subject skills.", AA93="D", "Needs improvement. Seek extra help and focus to grasp concepts.", AA93="E", "Needs more efforts. Regular attendance and focus needed.", AA93="","")</f>
        <v/>
      </c>
    </row>
    <row r="94" spans="28:28" x14ac:dyDescent="0.3">
      <c r="AB94" s="2" t="str" cm="1">
        <f t="array" ref="AB94">_xlfn.IFS(AA94="A", "Excellent work! Consistently strong effort and achievement.", AA94="B", "Great job! Solid understanding, keep striving for excellence.",AA94="C", "Meets expectations. Focus on improvement with subject skills.", AA94="D", "Needs improvement. Seek extra help and focus to grasp concepts.", AA94="E", "Needs more efforts. Regular attendance and focus needed.", AA94="","")</f>
        <v/>
      </c>
    </row>
    <row r="95" spans="28:28" x14ac:dyDescent="0.3">
      <c r="AB95" s="2" t="str" cm="1">
        <f t="array" ref="AB95">_xlfn.IFS(AA95="A", "Excellent work! Consistently strong effort and achievement.", AA95="B", "Great job! Solid understanding, keep striving for excellence.",AA95="C", "Meets expectations. Focus on improvement with subject skills.", AA95="D", "Needs improvement. Seek extra help and focus to grasp concepts.", AA95="E", "Needs more efforts. Regular attendance and focus needed.", AA95="","")</f>
        <v/>
      </c>
    </row>
    <row r="96" spans="28:28" x14ac:dyDescent="0.3">
      <c r="AB96" s="2" t="str" cm="1">
        <f t="array" ref="AB96">_xlfn.IFS(AA96="A", "Excellent work! Consistently strong effort and achievement.", AA96="B", "Great job! Solid understanding, keep striving for excellence.",AA96="C", "Meets expectations. Focus on improvement with subject skills.", AA96="D", "Needs improvement. Seek extra help and focus to grasp concepts.", AA96="E", "Needs more efforts. Regular attendance and focus needed.", AA96="","")</f>
        <v/>
      </c>
    </row>
    <row r="97" spans="28:28" x14ac:dyDescent="0.3">
      <c r="AB97" s="2" t="str" cm="1">
        <f t="array" ref="AB97">_xlfn.IFS(AA97="A", "Excellent work! Consistently strong effort and achievement.", AA97="B", "Great job! Solid understanding, keep striving for excellence.",AA97="C", "Meets expectations. Focus on improvement with subject skills.", AA97="D", "Needs improvement. Seek extra help and focus to grasp concepts.", AA97="E", "Needs more efforts. Regular attendance and focus needed.", AA97="","")</f>
        <v/>
      </c>
    </row>
    <row r="98" spans="28:28" x14ac:dyDescent="0.3">
      <c r="AB98" s="2" t="str" cm="1">
        <f t="array" ref="AB98">_xlfn.IFS(AA98="A", "Excellent work! Consistently strong effort and achievement.", AA98="B", "Great job! Solid understanding, keep striving for excellence.",AA98="C", "Meets expectations. Focus on improvement with subject skills.", AA98="D", "Needs improvement. Seek extra help and focus to grasp concepts.", AA98="E", "Needs more efforts. Regular attendance and focus needed.", AA98="","")</f>
        <v/>
      </c>
    </row>
    <row r="99" spans="28:28" x14ac:dyDescent="0.3">
      <c r="AB99" s="2" t="str" cm="1">
        <f t="array" ref="AB99">_xlfn.IFS(AA99="A", "Excellent work! Consistently strong effort and achievement.", AA99="B", "Great job! Solid understanding, keep striving for excellence.",AA99="C", "Meets expectations. Focus on improvement with subject skills.", AA99="D", "Needs improvement. Seek extra help and focus to grasp concepts.", AA99="E", "Needs more efforts. Regular attendance and focus needed.", AA99="","")</f>
        <v/>
      </c>
    </row>
    <row r="100" spans="28:28" x14ac:dyDescent="0.3">
      <c r="AB100" s="2" t="str" cm="1">
        <f t="array" ref="AB100">_xlfn.IFS(AA100="A", "Excellent work! Consistently strong effort and achievement.", AA100="B", "Great job! Solid understanding, keep striving for excellence.",AA100="C", "Meets expectations. Focus on improvement with subject skills.", AA100="D", "Needs improvement. Seek extra help and focus to grasp concepts.", AA100="E", "Needs more efforts. Regular attendance and focus needed.", AA100="","")</f>
        <v/>
      </c>
    </row>
    <row r="101" spans="28:28" x14ac:dyDescent="0.3">
      <c r="AB101" s="2" t="str" cm="1">
        <f t="array" ref="AB101">_xlfn.IFS(AA101="A", "Excellent work! Consistently strong effort and achievement.", AA101="B", "Great job! Solid understanding, keep striving for excellence.",AA101="C", "Meets expectations. Focus on improvement with subject skills.", AA101="D", "Needs improvement. Seek extra help and focus to grasp concepts.", AA101="E", "Needs more efforts. Regular attendance and focus needed.", AA101="","")</f>
        <v/>
      </c>
    </row>
    <row r="102" spans="28:28" x14ac:dyDescent="0.3">
      <c r="AB102" s="2" t="str" cm="1">
        <f t="array" ref="AB102">_xlfn.IFS(AA102="A", "Excellent work! Consistently strong effort and achievement.", AA102="B", "Great job! Solid understanding, keep striving for excellence.",AA102="C", "Meets expectations. Focus on improvement with subject skills.", AA102="D", "Needs improvement. Seek extra help and focus to grasp concepts.", AA102="E", "Needs more efforts. Regular attendance and focus needed.", AA102="","")</f>
        <v/>
      </c>
    </row>
    <row r="103" spans="28:28" x14ac:dyDescent="0.3">
      <c r="AB103" s="2" t="str" cm="1">
        <f t="array" ref="AB103">_xlfn.IFS(AA103="A", "Excellent work! Consistently strong effort and achievement.", AA103="B", "Great job! Solid understanding, keep striving for excellence.",AA103="C", "Meets expectations. Focus on improvement with subject skills.", AA103="D", "Needs improvement. Seek extra help and focus to grasp concepts.", AA103="E", "Needs more efforts. Regular attendance and focus needed.", AA103="","")</f>
        <v/>
      </c>
    </row>
    <row r="104" spans="28:28" x14ac:dyDescent="0.3">
      <c r="AB104" s="2" t="str" cm="1">
        <f t="array" ref="AB104">_xlfn.IFS(AA104="A", "Excellent work! Consistently strong effort and achievement.", AA104="B", "Great job! Solid understanding, keep striving for excellence.",AA104="C", "Meets expectations. Focus on improvement with subject skills.", AA104="D", "Needs improvement. Seek extra help and focus to grasp concepts.", AA104="E", "Needs more efforts. Regular attendance and focus needed.", AA104="","")</f>
        <v/>
      </c>
    </row>
    <row r="105" spans="28:28" x14ac:dyDescent="0.3">
      <c r="AB105" s="2" t="str" cm="1">
        <f t="array" ref="AB105">_xlfn.IFS(AA105="A", "Excellent work! Consistently strong effort and achievement.", AA105="B", "Great job! Solid understanding, keep striving for excellence.",AA105="C", "Meets expectations. Focus on improvement with subject skills.", AA105="D", "Needs improvement. Seek extra help and focus to grasp concepts.", AA105="E", "Needs more efforts. Regular attendance and focus needed.", AA105="","")</f>
        <v/>
      </c>
    </row>
    <row r="106" spans="28:28" x14ac:dyDescent="0.3">
      <c r="AB106" s="2" t="str" cm="1">
        <f t="array" ref="AB106">_xlfn.IFS(AA106="A", "Excellent work! Consistently strong effort and achievement.", AA106="B", "Great job! Solid understanding, keep striving for excellence.",AA106="C", "Meets expectations. Focus on improvement with subject skills.", AA106="D", "Needs improvement. Seek extra help and focus to grasp concepts.", AA106="E", "Needs more efforts. Regular attendance and focus needed.", AA106="","")</f>
        <v/>
      </c>
    </row>
    <row r="107" spans="28:28" x14ac:dyDescent="0.3">
      <c r="AB107" s="2" t="str" cm="1">
        <f t="array" ref="AB107">_xlfn.IFS(AA107="A", "Excellent work! Consistently strong effort and achievement.", AA107="B", "Great job! Solid understanding, keep striving for excellence.",AA107="C", "Meets expectations. Focus on improvement with subject skills.", AA107="D", "Needs improvement. Seek extra help and focus to grasp concepts.", AA107="E", "Needs more efforts. Regular attendance and focus needed.", AA107="","")</f>
        <v/>
      </c>
    </row>
    <row r="108" spans="28:28" x14ac:dyDescent="0.3">
      <c r="AB108" s="2" t="str" cm="1">
        <f t="array" ref="AB108">_xlfn.IFS(AA108="A", "Excellent work! Consistently strong effort and achievement.", AA108="B", "Great job! Solid understanding, keep striving for excellence.",AA108="C", "Meets expectations. Focus on improvement with subject skills.", AA108="D", "Needs improvement. Seek extra help and focus to grasp concepts.", AA108="E", "Needs more efforts. Regular attendance and focus needed.", AA108="","")</f>
        <v/>
      </c>
    </row>
    <row r="109" spans="28:28" x14ac:dyDescent="0.3">
      <c r="AB109" s="2" t="str" cm="1">
        <f t="array" ref="AB109">_xlfn.IFS(AA109="A", "Excellent work! Consistently strong effort and achievement.", AA109="B", "Great job! Solid understanding, keep striving for excellence.",AA109="C", "Meets expectations. Focus on improvement with subject skills.", AA109="D", "Needs improvement. Seek extra help and focus to grasp concepts.", AA109="E", "Needs more efforts. Regular attendance and focus needed.", AA109="","")</f>
        <v/>
      </c>
    </row>
    <row r="110" spans="28:28" x14ac:dyDescent="0.3">
      <c r="AB110" s="2" t="str" cm="1">
        <f t="array" ref="AB110">_xlfn.IFS(AA110="A", "Excellent work! Consistently strong effort and achievement.", AA110="B", "Great job! Solid understanding, keep striving for excellence.",AA110="C", "Meets expectations. Focus on improvement with subject skills.", AA110="D", "Needs improvement. Seek extra help and focus to grasp concepts.", AA110="E", "Needs more efforts. Regular attendance and focus needed.", AA110="","")</f>
        <v/>
      </c>
    </row>
    <row r="111" spans="28:28" x14ac:dyDescent="0.3">
      <c r="AB111" s="2" t="str" cm="1">
        <f t="array" ref="AB111">_xlfn.IFS(AA111="A", "Excellent work! Consistently strong effort and achievement.", AA111="B", "Great job! Solid understanding, keep striving for excellence.",AA111="C", "Meets expectations. Focus on improvement with subject skills.", AA111="D", "Needs improvement. Seek extra help and focus to grasp concepts.", AA111="E", "Needs more efforts. Regular attendance and focus needed.", AA111="","")</f>
        <v/>
      </c>
    </row>
    <row r="112" spans="28:28" x14ac:dyDescent="0.3">
      <c r="AB112" s="2" t="str" cm="1">
        <f t="array" ref="AB112">_xlfn.IFS(AA112="A", "Excellent work! Consistently strong effort and achievement.", AA112="B", "Great job! Solid understanding, keep striving for excellence.",AA112="C", "Meets expectations. Focus on improvement with subject skills.", AA112="D", "Needs improvement. Seek extra help and focus to grasp concepts.", AA112="E", "Needs more efforts. Regular attendance and focus needed.", AA112="","")</f>
        <v/>
      </c>
    </row>
    <row r="113" spans="28:28" x14ac:dyDescent="0.3">
      <c r="AB113" s="2" t="str" cm="1">
        <f t="array" ref="AB113">_xlfn.IFS(AA113="A", "Excellent work! Consistently strong effort and achievement.", AA113="B", "Great job! Solid understanding, keep striving for excellence.",AA113="C", "Meets expectations. Focus on improvement with subject skills.", AA113="D", "Needs improvement. Seek extra help and focus to grasp concepts.", AA113="E", "Needs more efforts. Regular attendance and focus needed.", AA113="","")</f>
        <v/>
      </c>
    </row>
    <row r="114" spans="28:28" x14ac:dyDescent="0.3">
      <c r="AB114" s="2" t="str" cm="1">
        <f t="array" ref="AB114">_xlfn.IFS(AA114="A", "Excellent work! Consistently strong effort and achievement.", AA114="B", "Great job! Solid understanding, keep striving for excellence.",AA114="C", "Meets expectations. Focus on improvement with subject skills.", AA114="D", "Needs improvement. Seek extra help and focus to grasp concepts.", AA114="E", "Needs more efforts. Regular attendance and focus needed.", AA114="","")</f>
        <v/>
      </c>
    </row>
    <row r="115" spans="28:28" x14ac:dyDescent="0.3">
      <c r="AB115" s="2" t="str" cm="1">
        <f t="array" ref="AB115">_xlfn.IFS(AA115="A", "Excellent work! Consistently strong effort and achievement.", AA115="B", "Great job! Solid understanding, keep striving for excellence.",AA115="C", "Meets expectations. Focus on improvement with subject skills.", AA115="D", "Needs improvement. Seek extra help and focus to grasp concepts.", AA115="E", "Needs more efforts. Regular attendance and focus needed.", AA115="","")</f>
        <v/>
      </c>
    </row>
    <row r="116" spans="28:28" x14ac:dyDescent="0.3">
      <c r="AB116" s="2" t="str" cm="1">
        <f t="array" ref="AB116">_xlfn.IFS(AA116="A", "Excellent work! Consistently strong effort and achievement.", AA116="B", "Great job! Solid understanding, keep striving for excellence.",AA116="C", "Meets expectations. Focus on improvement with subject skills.", AA116="D", "Needs improvement. Seek extra help and focus to grasp concepts.", AA116="E", "Needs more efforts. Regular attendance and focus needed.", AA116="","")</f>
        <v/>
      </c>
    </row>
    <row r="117" spans="28:28" x14ac:dyDescent="0.3">
      <c r="AB117" s="2" t="str" cm="1">
        <f t="array" ref="AB117">_xlfn.IFS(AA117="A", "Excellent work! Consistently strong effort and achievement.", AA117="B", "Great job! Solid understanding, keep striving for excellence.",AA117="C", "Meets expectations. Focus on improvement with subject skills.", AA117="D", "Needs improvement. Seek extra help and focus to grasp concepts.", AA117="E", "Needs more efforts. Regular attendance and focus needed.", AA117="","")</f>
        <v/>
      </c>
    </row>
    <row r="118" spans="28:28" x14ac:dyDescent="0.3">
      <c r="AB118" s="2" t="str" cm="1">
        <f t="array" ref="AB118">_xlfn.IFS(AA118="A", "Excellent work! Consistently strong effort and achievement.", AA118="B", "Great job! Solid understanding, keep striving for excellence.",AA118="C", "Meets expectations. Focus on improvement with subject skills.", AA118="D", "Needs improvement. Seek extra help and focus to grasp concepts.", AA118="E", "Needs more efforts. Regular attendance and focus needed.", AA118="","")</f>
        <v/>
      </c>
    </row>
    <row r="119" spans="28:28" x14ac:dyDescent="0.3">
      <c r="AB119" s="2" t="str" cm="1">
        <f t="array" ref="AB119">_xlfn.IFS(AA119="A", "Excellent work! Consistently strong effort and achievement.", AA119="B", "Great job! Solid understanding, keep striving for excellence.",AA119="C", "Meets expectations. Focus on improvement with subject skills.", AA119="D", "Needs improvement. Seek extra help and focus to grasp concepts.", AA119="E", "Needs more efforts. Regular attendance and focus needed.", AA119="","")</f>
        <v/>
      </c>
    </row>
    <row r="120" spans="28:28" x14ac:dyDescent="0.3">
      <c r="AB120" s="2" t="str" cm="1">
        <f t="array" ref="AB120">_xlfn.IFS(AA120="A", "Excellent work! Consistently strong effort and achievement.", AA120="B", "Great job! Solid understanding, keep striving for excellence.",AA120="C", "Meets expectations. Focus on improvement with subject skills.", AA120="D", "Needs improvement. Seek extra help and focus to grasp concepts.", AA120="E", "Needs more efforts. Regular attendance and focus needed.", AA120="","")</f>
        <v/>
      </c>
    </row>
    <row r="121" spans="28:28" x14ac:dyDescent="0.3">
      <c r="AB121" s="2" t="str" cm="1">
        <f t="array" ref="AB121">_xlfn.IFS(AA121="A", "Excellent work! Consistently strong effort and achievement.", AA121="B", "Great job! Solid understanding, keep striving for excellence.",AA121="C", "Meets expectations. Focus on improvement with subject skills.", AA121="D", "Needs improvement. Seek extra help and focus to grasp concepts.", AA121="E", "Needs more efforts. Regular attendance and focus needed.", AA121="","")</f>
        <v/>
      </c>
    </row>
    <row r="122" spans="28:28" x14ac:dyDescent="0.3">
      <c r="AB122" s="2" t="str" cm="1">
        <f t="array" ref="AB122">_xlfn.IFS(AA122="A", "Excellent work! Consistently strong effort and achievement.", AA122="B", "Great job! Solid understanding, keep striving for excellence.",AA122="C", "Meets expectations. Focus on improvement with subject skills.", AA122="D", "Needs improvement. Seek extra help and focus to grasp concepts.", AA122="E", "Needs more efforts. Regular attendance and focus needed.", AA122="","")</f>
        <v/>
      </c>
    </row>
    <row r="123" spans="28:28" x14ac:dyDescent="0.3">
      <c r="AB123" s="2" t="str" cm="1">
        <f t="array" ref="AB123">_xlfn.IFS(AA123="A", "Excellent work! Consistently strong effort and achievement.", AA123="B", "Great job! Solid understanding, keep striving for excellence.",AA123="C", "Meets expectations. Focus on improvement with subject skills.", AA123="D", "Needs improvement. Seek extra help and focus to grasp concepts.", AA123="E", "Needs more efforts. Regular attendance and focus needed.", AA123="","")</f>
        <v/>
      </c>
    </row>
    <row r="124" spans="28:28" x14ac:dyDescent="0.3">
      <c r="AB124" s="2" t="str" cm="1">
        <f t="array" ref="AB124">_xlfn.IFS(AA124="A", "Excellent work! Consistently strong effort and achievement.", AA124="B", "Great job! Solid understanding, keep striving for excellence.",AA124="C", "Meets expectations. Focus on improvement with subject skills.", AA124="D", "Needs improvement. Seek extra help and focus to grasp concepts.", AA124="E", "Needs more efforts. Regular attendance and focus needed.", AA124="","")</f>
        <v/>
      </c>
    </row>
    <row r="125" spans="28:28" x14ac:dyDescent="0.3">
      <c r="AB125" s="2" t="str" cm="1">
        <f t="array" ref="AB125">_xlfn.IFS(AA125="A", "Excellent work! Consistently strong effort and achievement.", AA125="B", "Great job! Solid understanding, keep striving for excellence.",AA125="C", "Meets expectations. Focus on improvement with subject skills.", AA125="D", "Needs improvement. Seek extra help and focus to grasp concepts.", AA125="E", "Needs more efforts. Regular attendance and focus needed.", AA125="","")</f>
        <v/>
      </c>
    </row>
    <row r="126" spans="28:28" x14ac:dyDescent="0.3">
      <c r="AB126" s="2" t="str" cm="1">
        <f t="array" ref="AB126">_xlfn.IFS(AA126="A", "Excellent work! Consistently strong effort and achievement.", AA126="B", "Great job! Solid understanding, keep striving for excellence.",AA126="C", "Meets expectations. Focus on improvement with subject skills.", AA126="D", "Needs improvement. Seek extra help and focus to grasp concepts.", AA126="E", "Needs more efforts. Regular attendance and focus needed.", AA126="","")</f>
        <v/>
      </c>
    </row>
    <row r="127" spans="28:28" x14ac:dyDescent="0.3">
      <c r="AB127" s="2" t="str" cm="1">
        <f t="array" ref="AB127">_xlfn.IFS(AA127="A", "Excellent work! Consistently strong effort and achievement.", AA127="B", "Great job! Solid understanding, keep striving for excellence.",AA127="C", "Meets expectations. Focus on improvement with subject skills.", AA127="D", "Needs improvement. Seek extra help and focus to grasp concepts.", AA127="E", "Needs more efforts. Regular attendance and focus needed.", AA127="","")</f>
        <v/>
      </c>
    </row>
    <row r="128" spans="28:28" x14ac:dyDescent="0.3">
      <c r="AB128" s="2" t="str" cm="1">
        <f t="array" ref="AB128">_xlfn.IFS(AA128="A", "Excellent work! Consistently strong effort and achievement.", AA128="B", "Great job! Solid understanding, keep striving for excellence.",AA128="C", "Meets expectations. Focus on improvement with subject skills.", AA128="D", "Needs improvement. Seek extra help and focus to grasp concepts.", AA128="E", "Needs more efforts. Regular attendance and focus needed.", AA128="","")</f>
        <v/>
      </c>
    </row>
    <row r="129" spans="28:28" x14ac:dyDescent="0.3">
      <c r="AB129" s="2" t="str" cm="1">
        <f t="array" ref="AB129">_xlfn.IFS(AA129="A", "Excellent work! Consistently strong effort and achievement.", AA129="B", "Great job! Solid understanding, keep striving for excellence.",AA129="C", "Meets expectations. Focus on improvement with subject skills.", AA129="D", "Needs improvement. Seek extra help and focus to grasp concepts.", AA129="E", "Needs more efforts. Regular attendance and focus needed.", AA129="","")</f>
        <v/>
      </c>
    </row>
    <row r="130" spans="28:28" x14ac:dyDescent="0.3">
      <c r="AB130" s="2" t="str" cm="1">
        <f t="array" ref="AB130">_xlfn.IFS(AA130="A", "Excellent work! Consistently strong effort and achievement.", AA130="B", "Great job! Solid understanding, keep striving for excellence.",AA130="C", "Meets expectations. Focus on improvement with subject skills.", AA130="D", "Needs improvement. Seek extra help and focus to grasp concepts.", AA130="E", "Needs more efforts. Regular attendance and focus needed.", AA130="","")</f>
        <v/>
      </c>
    </row>
    <row r="131" spans="28:28" x14ac:dyDescent="0.3">
      <c r="AB131" s="2" t="str" cm="1">
        <f t="array" ref="AB131">_xlfn.IFS(AA131="A", "Excellent work! Consistently strong effort and achievement.", AA131="B", "Great job! Solid understanding, keep striving for excellence.",AA131="C", "Meets expectations. Focus on improvement with subject skills.", AA131="D", "Needs improvement. Seek extra help and focus to grasp concepts.", AA131="E", "Needs more efforts. Regular attendance and focus needed.", AA131="","")</f>
        <v/>
      </c>
    </row>
    <row r="132" spans="28:28" x14ac:dyDescent="0.3">
      <c r="AB132" s="2" t="str" cm="1">
        <f t="array" ref="AB132">_xlfn.IFS(AA132="A", "Excellent work! Consistently strong effort and achievement.", AA132="B", "Great job! Solid understanding, keep striving for excellence.",AA132="C", "Meets expectations. Focus on improvement with subject skills.", AA132="D", "Needs improvement. Seek extra help and focus to grasp concepts.", AA132="E", "Needs more efforts. Regular attendance and focus needed.", AA132="","")</f>
        <v/>
      </c>
    </row>
    <row r="133" spans="28:28" x14ac:dyDescent="0.3">
      <c r="AB133" s="2" t="str" cm="1">
        <f t="array" ref="AB133">_xlfn.IFS(AA133="A", "Excellent work! Consistently strong effort and achievement.", AA133="B", "Great job! Solid understanding, keep striving for excellence.",AA133="C", "Meets expectations. Focus on improvement with subject skills.", AA133="D", "Needs improvement. Seek extra help and focus to grasp concepts.", AA133="E", "Needs more efforts. Regular attendance and focus needed.", AA133="","")</f>
        <v/>
      </c>
    </row>
    <row r="134" spans="28:28" x14ac:dyDescent="0.3">
      <c r="AB134" s="2" t="str" cm="1">
        <f t="array" ref="AB134">_xlfn.IFS(AA134="A", "Excellent work! Consistently strong effort and achievement.", AA134="B", "Great job! Solid understanding, keep striving for excellence.",AA134="C", "Meets expectations. Focus on improvement with subject skills.", AA134="D", "Needs improvement. Seek extra help and focus to grasp concepts.", AA134="E", "Needs more efforts. Regular attendance and focus needed.", AA134="","")</f>
        <v/>
      </c>
    </row>
    <row r="135" spans="28:28" x14ac:dyDescent="0.3">
      <c r="AB135" s="2" t="str" cm="1">
        <f t="array" ref="AB135">_xlfn.IFS(AA135="A", "Excellent work! Consistently strong effort and achievement.", AA135="B", "Great job! Solid understanding, keep striving for excellence.",AA135="C", "Meets expectations. Focus on improvement with subject skills.", AA135="D", "Needs improvement. Seek extra help and focus to grasp concepts.", AA135="E", "Needs more efforts. Regular attendance and focus needed.", AA135="","")</f>
        <v/>
      </c>
    </row>
    <row r="136" spans="28:28" x14ac:dyDescent="0.3">
      <c r="AB136" s="2" t="str" cm="1">
        <f t="array" ref="AB136">_xlfn.IFS(AA136="A", "Excellent work! Consistently strong effort and achievement.", AA136="B", "Great job! Solid understanding, keep striving for excellence.",AA136="C", "Meets expectations. Focus on improvement with subject skills.", AA136="D", "Needs improvement. Seek extra help and focus to grasp concepts.", AA136="E", "Needs more efforts. Regular attendance and focus needed.", AA136="","")</f>
        <v/>
      </c>
    </row>
    <row r="137" spans="28:28" x14ac:dyDescent="0.3">
      <c r="AB137" s="2" t="str" cm="1">
        <f t="array" ref="AB137">_xlfn.IFS(AA137="A", "Excellent work! Consistently strong effort and achievement.", AA137="B", "Great job! Solid understanding, keep striving for excellence.",AA137="C", "Meets expectations. Focus on improvement with subject skills.", AA137="D", "Needs improvement. Seek extra help and focus to grasp concepts.", AA137="E", "Needs more efforts. Regular attendance and focus needed.", AA137="","")</f>
        <v/>
      </c>
    </row>
    <row r="138" spans="28:28" x14ac:dyDescent="0.3">
      <c r="AB138" s="2" t="str" cm="1">
        <f t="array" ref="AB138">_xlfn.IFS(AA138="A", "Excellent work! Consistently strong effort and achievement.", AA138="B", "Great job! Solid understanding, keep striving for excellence.",AA138="C", "Meets expectations. Focus on improvement with subject skills.", AA138="D", "Needs improvement. Seek extra help and focus to grasp concepts.", AA138="E", "Needs more efforts. Regular attendance and focus needed.", AA138="","")</f>
        <v/>
      </c>
    </row>
    <row r="139" spans="28:28" x14ac:dyDescent="0.3">
      <c r="AB139" s="2" t="str" cm="1">
        <f t="array" ref="AB139">_xlfn.IFS(AA139="A", "Excellent work! Consistently strong effort and achievement.", AA139="B", "Great job! Solid understanding, keep striving for excellence.",AA139="C", "Meets expectations. Focus on improvement with subject skills.", AA139="D", "Needs improvement. Seek extra help and focus to grasp concepts.", AA139="E", "Needs more efforts. Regular attendance and focus needed.", AA139="","")</f>
        <v/>
      </c>
    </row>
    <row r="140" spans="28:28" x14ac:dyDescent="0.3">
      <c r="AB140" s="2" t="str" cm="1">
        <f t="array" ref="AB140">_xlfn.IFS(AA140="A", "Excellent work! Consistently strong effort and achievement.", AA140="B", "Great job! Solid understanding, keep striving for excellence.",AA140="C", "Meets expectations. Focus on improvement with subject skills.", AA140="D", "Needs improvement. Seek extra help and focus to grasp concepts.", AA140="E", "Needs more efforts. Regular attendance and focus needed.", AA140="","")</f>
        <v/>
      </c>
    </row>
    <row r="141" spans="28:28" x14ac:dyDescent="0.3">
      <c r="AB141" s="2" t="str" cm="1">
        <f t="array" ref="AB141">_xlfn.IFS(AA141="A", "Excellent work! Consistently strong effort and achievement.", AA141="B", "Great job! Solid understanding, keep striving for excellence.",AA141="C", "Meets expectations. Focus on improvement with subject skills.", AA141="D", "Needs improvement. Seek extra help and focus to grasp concepts.", AA141="E", "Needs more efforts. Regular attendance and focus needed.", AA141="","")</f>
        <v/>
      </c>
    </row>
    <row r="142" spans="28:28" x14ac:dyDescent="0.3">
      <c r="AB142" s="2" t="str" cm="1">
        <f t="array" ref="AB142">_xlfn.IFS(AA142="A", "Excellent work! Consistently strong effort and achievement.", AA142="B", "Great job! Solid understanding, keep striving for excellence.",AA142="C", "Meets expectations. Focus on improvement with subject skills.", AA142="D", "Needs improvement. Seek extra help and focus to grasp concepts.", AA142="E", "Needs more efforts. Regular attendance and focus needed.", AA142="","")</f>
        <v/>
      </c>
    </row>
    <row r="143" spans="28:28" x14ac:dyDescent="0.3">
      <c r="AB143" s="2" t="str" cm="1">
        <f t="array" ref="AB143">_xlfn.IFS(AA143="A", "Excellent work! Consistently strong effort and achievement.", AA143="B", "Great job! Solid understanding, keep striving for excellence.",AA143="C", "Meets expectations. Focus on improvement with subject skills.", AA143="D", "Needs improvement. Seek extra help and focus to grasp concepts.", AA143="E", "Needs more efforts. Regular attendance and focus needed.", AA143="","")</f>
        <v/>
      </c>
    </row>
    <row r="144" spans="28:28" x14ac:dyDescent="0.3">
      <c r="AB144" s="2" t="str" cm="1">
        <f t="array" ref="AB144">_xlfn.IFS(AA144="A", "Excellent work! Consistently strong effort and achievement.", AA144="B", "Great job! Solid understanding, keep striving for excellence.",AA144="C", "Meets expectations. Focus on improvement with subject skills.", AA144="D", "Needs improvement. Seek extra help and focus to grasp concepts.", AA144="E", "Needs more efforts. Regular attendance and focus needed.", AA144="","")</f>
        <v/>
      </c>
    </row>
    <row r="145" spans="28:28" x14ac:dyDescent="0.3">
      <c r="AB145" s="2" t="str" cm="1">
        <f t="array" ref="AB145">_xlfn.IFS(AA145="A", "Excellent work! Consistently strong effort and achievement.", AA145="B", "Great job! Solid understanding, keep striving for excellence.",AA145="C", "Meets expectations. Focus on improvement with subject skills.", AA145="D", "Needs improvement. Seek extra help and focus to grasp concepts.", AA145="E", "Needs more efforts. Regular attendance and focus needed.", AA145="","")</f>
        <v/>
      </c>
    </row>
    <row r="146" spans="28:28" x14ac:dyDescent="0.3">
      <c r="AB146" s="2" t="str" cm="1">
        <f t="array" ref="AB146">_xlfn.IFS(AA146="A", "Excellent work! Consistently strong effort and achievement.", AA146="B", "Great job! Solid understanding, keep striving for excellence.",AA146="C", "Meets expectations. Focus on improvement with subject skills.", AA146="D", "Needs improvement. Seek extra help and focus to grasp concepts.", AA146="E", "Needs more efforts. Regular attendance and focus needed.", AA146="","")</f>
        <v/>
      </c>
    </row>
    <row r="147" spans="28:28" x14ac:dyDescent="0.3">
      <c r="AB147" s="2" t="str" cm="1">
        <f t="array" ref="AB147">_xlfn.IFS(AA147="A", "Excellent work! Consistently strong effort and achievement.", AA147="B", "Great job! Solid understanding, keep striving for excellence.",AA147="C", "Meets expectations. Focus on improvement with subject skills.", AA147="D", "Needs improvement. Seek extra help and focus to grasp concepts.", AA147="E", "Needs more efforts. Regular attendance and focus needed.", AA147="","")</f>
        <v/>
      </c>
    </row>
    <row r="148" spans="28:28" x14ac:dyDescent="0.3">
      <c r="AB148" s="2" t="str" cm="1">
        <f t="array" ref="AB148">_xlfn.IFS(AA148="A", "Excellent work! Consistently strong effort and achievement.", AA148="B", "Great job! Solid understanding, keep striving for excellence.",AA148="C", "Meets expectations. Focus on improvement with subject skills.", AA148="D", "Needs improvement. Seek extra help and focus to grasp concepts.", AA148="E", "Needs more efforts. Regular attendance and focus needed.", AA148="","")</f>
        <v/>
      </c>
    </row>
    <row r="149" spans="28:28" x14ac:dyDescent="0.3">
      <c r="AB149" s="2" t="str" cm="1">
        <f t="array" ref="AB149">_xlfn.IFS(AA149="A", "Excellent work! Consistently strong effort and achievement.", AA149="B", "Great job! Solid understanding, keep striving for excellence.",AA149="C", "Meets expectations. Focus on improvement with subject skills.", AA149="D", "Needs improvement. Seek extra help and focus to grasp concepts.", AA149="E", "Needs more efforts. Regular attendance and focus needed.", AA149="","")</f>
        <v/>
      </c>
    </row>
    <row r="150" spans="28:28" x14ac:dyDescent="0.3">
      <c r="AB150" s="2" t="str" cm="1">
        <f t="array" ref="AB150">_xlfn.IFS(AA150="A", "Excellent work! Consistently strong effort and achievement.", AA150="B", "Great job! Solid understanding, keep striving for excellence.",AA150="C", "Meets expectations. Focus on improvement with subject skills.", AA150="D", "Needs improvement. Seek extra help and focus to grasp concepts.", AA150="E", "Needs more efforts. Regular attendance and focus needed.", AA150="","")</f>
        <v/>
      </c>
    </row>
    <row r="151" spans="28:28" x14ac:dyDescent="0.3">
      <c r="AB151" s="2" t="str" cm="1">
        <f t="array" ref="AB151">_xlfn.IFS(AA151="A", "Excellent work! Consistently strong effort and achievement.", AA151="B", "Great job! Solid understanding, keep striving for excellence.",AA151="C", "Meets expectations. Focus on improvement with subject skills.", AA151="D", "Needs improvement. Seek extra help and focus to grasp concepts.", AA151="E", "Needs more efforts. Regular attendance and focus needed.", AA151="","")</f>
        <v/>
      </c>
    </row>
    <row r="152" spans="28:28" x14ac:dyDescent="0.3">
      <c r="AB152" s="2" t="str" cm="1">
        <f t="array" ref="AB152">_xlfn.IFS(AA152="A", "Excellent work! Consistently strong effort and achievement.", AA152="B", "Great job! Solid understanding, keep striving for excellence.",AA152="C", "Meets expectations. Focus on improvement with subject skills.", AA152="D", "Needs improvement. Seek extra help and focus to grasp concepts.", AA152="E", "Needs more efforts. Regular attendance and focus needed.", AA152="","")</f>
        <v/>
      </c>
    </row>
    <row r="153" spans="28:28" x14ac:dyDescent="0.3">
      <c r="AB153" s="2" t="str" cm="1">
        <f t="array" ref="AB153">_xlfn.IFS(AA153="A", "Excellent work! Consistently strong effort and achievement.", AA153="B", "Great job! Solid understanding, keep striving for excellence.",AA153="C", "Meets expectations. Focus on improvement with subject skills.", AA153="D", "Needs improvement. Seek extra help and focus to grasp concepts.", AA153="E", "Needs more efforts. Regular attendance and focus needed.", AA153="","")</f>
        <v/>
      </c>
    </row>
    <row r="154" spans="28:28" x14ac:dyDescent="0.3">
      <c r="AB154" s="2" t="str" cm="1">
        <f t="array" ref="AB154">_xlfn.IFS(AA154="A", "Excellent work! Consistently strong effort and achievement.", AA154="B", "Great job! Solid understanding, keep striving for excellence.",AA154="C", "Meets expectations. Focus on improvement with subject skills.", AA154="D", "Needs improvement. Seek extra help and focus to grasp concepts.", AA154="E", "Needs more efforts. Regular attendance and focus needed.", AA154="","")</f>
        <v/>
      </c>
    </row>
    <row r="155" spans="28:28" x14ac:dyDescent="0.3">
      <c r="AB155" s="2" t="str" cm="1">
        <f t="array" ref="AB155">_xlfn.IFS(AA155="A", "Excellent work! Consistently strong effort and achievement.", AA155="B", "Great job! Solid understanding, keep striving for excellence.",AA155="C", "Meets expectations. Focus on improvement with subject skills.", AA155="D", "Needs improvement. Seek extra help and focus to grasp concepts.", AA155="E", "Needs more efforts. Regular attendance and focus needed.", AA155="","")</f>
        <v/>
      </c>
    </row>
    <row r="156" spans="28:28" x14ac:dyDescent="0.3">
      <c r="AB156" s="2" t="str" cm="1">
        <f t="array" ref="AB156">_xlfn.IFS(AA156="A", "Excellent work! Consistently strong effort and achievement.", AA156="B", "Great job! Solid understanding, keep striving for excellence.",AA156="C", "Meets expectations. Focus on improvement with subject skills.", AA156="D", "Needs improvement. Seek extra help and focus to grasp concepts.", AA156="E", "Needs more efforts. Regular attendance and focus needed.", AA156="","")</f>
        <v/>
      </c>
    </row>
    <row r="157" spans="28:28" x14ac:dyDescent="0.3">
      <c r="AB157" s="2" t="str" cm="1">
        <f t="array" ref="AB157">_xlfn.IFS(AA157="A", "Excellent work! Consistently strong effort and achievement.", AA157="B", "Great job! Solid understanding, keep striving for excellence.",AA157="C", "Meets expectations. Focus on improvement with subject skills.", AA157="D", "Needs improvement. Seek extra help and focus to grasp concepts.", AA157="E", "Needs more efforts. Regular attendance and focus needed.", AA157="","")</f>
        <v/>
      </c>
    </row>
    <row r="158" spans="28:28" x14ac:dyDescent="0.3">
      <c r="AB158" s="2" t="str" cm="1">
        <f t="array" ref="AB158">_xlfn.IFS(AA158="A", "Excellent work! Consistently strong effort and achievement.", AA158="B", "Great job! Solid understanding, keep striving for excellence.",AA158="C", "Meets expectations. Focus on improvement with subject skills.", AA158="D", "Needs improvement. Seek extra help and focus to grasp concepts.", AA158="E", "Needs more efforts. Regular attendance and focus needed.", AA158="","")</f>
        <v/>
      </c>
    </row>
    <row r="159" spans="28:28" x14ac:dyDescent="0.3">
      <c r="AB159" s="2" t="str" cm="1">
        <f t="array" ref="AB159">_xlfn.IFS(AA159="A", "Excellent work! Consistently strong effort and achievement.", AA159="B", "Great job! Solid understanding, keep striving for excellence.",AA159="C", "Meets expectations. Focus on improvement with subject skills.", AA159="D", "Needs improvement. Seek extra help and focus to grasp concepts.", AA159="E", "Needs more efforts. Regular attendance and focus needed.", AA159="","")</f>
        <v/>
      </c>
    </row>
    <row r="160" spans="28:28" x14ac:dyDescent="0.3">
      <c r="AB160" s="2" t="str" cm="1">
        <f t="array" ref="AB160">_xlfn.IFS(AA160="A", "Excellent work! Consistently strong effort and achievement.", AA160="B", "Great job! Solid understanding, keep striving for excellence.",AA160="C", "Meets expectations. Focus on improvement with subject skills.", AA160="D", "Needs improvement. Seek extra help and focus to grasp concepts.", AA160="E", "Needs more efforts. Regular attendance and focus needed.", AA160="","")</f>
        <v/>
      </c>
    </row>
    <row r="161" spans="28:28" x14ac:dyDescent="0.3">
      <c r="AB161" s="2" t="str" cm="1">
        <f t="array" ref="AB161">_xlfn.IFS(AA161="A", "Excellent work! Consistently strong effort and achievement.", AA161="B", "Great job! Solid understanding, keep striving for excellence.",AA161="C", "Meets expectations. Focus on improvement with subject skills.", AA161="D", "Needs improvement. Seek extra help and focus to grasp concepts.", AA161="E", "Needs more efforts. Regular attendance and focus needed.", AA161="","")</f>
        <v/>
      </c>
    </row>
    <row r="162" spans="28:28" x14ac:dyDescent="0.3">
      <c r="AB162" s="2" t="str" cm="1">
        <f t="array" ref="AB162">_xlfn.IFS(AA162="A", "Excellent work! Consistently strong effort and achievement.", AA162="B", "Great job! Solid understanding, keep striving for excellence.",AA162="C", "Meets expectations. Focus on improvement with subject skills.", AA162="D", "Needs improvement. Seek extra help and focus to grasp concepts.", AA162="E", "Needs more efforts. Regular attendance and focus needed.", AA162="","")</f>
        <v/>
      </c>
    </row>
    <row r="163" spans="28:28" x14ac:dyDescent="0.3">
      <c r="AB163" s="2" t="str" cm="1">
        <f t="array" ref="AB163">_xlfn.IFS(AA163="A", "Excellent work! Consistently strong effort and achievement.", AA163="B", "Great job! Solid understanding, keep striving for excellence.",AA163="C", "Meets expectations. Focus on improvement with subject skills.", AA163="D", "Needs improvement. Seek extra help and focus to grasp concepts.", AA163="E", "Needs more efforts. Regular attendance and focus needed.", AA163="","")</f>
        <v/>
      </c>
    </row>
    <row r="164" spans="28:28" x14ac:dyDescent="0.3">
      <c r="AB164" s="2" t="str" cm="1">
        <f t="array" ref="AB164">_xlfn.IFS(AA164="A", "Excellent work! Consistently strong effort and achievement.", AA164="B", "Great job! Solid understanding, keep striving for excellence.",AA164="C", "Meets expectations. Focus on improvement with subject skills.", AA164="D", "Needs improvement. Seek extra help and focus to grasp concepts.", AA164="E", "Needs more efforts. Regular attendance and focus needed.", AA164="","")</f>
        <v/>
      </c>
    </row>
    <row r="165" spans="28:28" x14ac:dyDescent="0.3">
      <c r="AB165" s="2" t="str" cm="1">
        <f t="array" ref="AB165">_xlfn.IFS(AA165="A", "Excellent work! Consistently strong effort and achievement.", AA165="B", "Great job! Solid understanding, keep striving for excellence.",AA165="C", "Meets expectations. Focus on improvement with subject skills.", AA165="D", "Needs improvement. Seek extra help and focus to grasp concepts.", AA165="E", "Needs more efforts. Regular attendance and focus needed.", AA165="","")</f>
        <v/>
      </c>
    </row>
    <row r="166" spans="28:28" x14ac:dyDescent="0.3">
      <c r="AB166" s="2" t="str" cm="1">
        <f t="array" ref="AB166">_xlfn.IFS(AA166="A", "Excellent work! Consistently strong effort and achievement.", AA166="B", "Great job! Solid understanding, keep striving for excellence.",AA166="C", "Meets expectations. Focus on improvement with subject skills.", AA166="D", "Needs improvement. Seek extra help and focus to grasp concepts.", AA166="E", "Needs more efforts. Regular attendance and focus needed.", AA166="","")</f>
        <v/>
      </c>
    </row>
    <row r="167" spans="28:28" x14ac:dyDescent="0.3">
      <c r="AB167" s="2" t="str" cm="1">
        <f t="array" ref="AB167">_xlfn.IFS(AA167="A", "Excellent work! Consistently strong effort and achievement.", AA167="B", "Great job! Solid understanding, keep striving for excellence.",AA167="C", "Meets expectations. Focus on improvement with subject skills.", AA167="D", "Needs improvement. Seek extra help and focus to grasp concepts.", AA167="E", "Needs more efforts. Regular attendance and focus needed.", AA167="","")</f>
        <v/>
      </c>
    </row>
    <row r="168" spans="28:28" x14ac:dyDescent="0.3">
      <c r="AB168" s="2" t="str" cm="1">
        <f t="array" ref="AB168">_xlfn.IFS(AA168="A", "Excellent work! Consistently strong effort and achievement.", AA168="B", "Great job! Solid understanding, keep striving for excellence.",AA168="C", "Meets expectations. Focus on improvement with subject skills.", AA168="D", "Needs improvement. Seek extra help and focus to grasp concepts.", AA168="E", "Needs more efforts. Regular attendance and focus needed.", AA168="","")</f>
        <v/>
      </c>
    </row>
    <row r="169" spans="28:28" x14ac:dyDescent="0.3">
      <c r="AB169" s="2" t="str" cm="1">
        <f t="array" ref="AB169">_xlfn.IFS(AA169="A", "Excellent work! Consistently strong effort and achievement.", AA169="B", "Great job! Solid understanding, keep striving for excellence.",AA169="C", "Meets expectations. Focus on improvement with subject skills.", AA169="D", "Needs improvement. Seek extra help and focus to grasp concepts.", AA169="E", "Needs more efforts. Regular attendance and focus needed.", AA169="","")</f>
        <v/>
      </c>
    </row>
    <row r="170" spans="28:28" x14ac:dyDescent="0.3">
      <c r="AB170" s="2" t="str" cm="1">
        <f t="array" ref="AB170">_xlfn.IFS(AA170="A", "Excellent work! Consistently strong effort and achievement.", AA170="B", "Great job! Solid understanding, keep striving for excellence.",AA170="C", "Meets expectations. Focus on improvement with subject skills.", AA170="D", "Needs improvement. Seek extra help and focus to grasp concepts.", AA170="E", "Needs more efforts. Regular attendance and focus needed.", AA170="","")</f>
        <v/>
      </c>
    </row>
    <row r="171" spans="28:28" x14ac:dyDescent="0.3">
      <c r="AB171" s="2" t="str" cm="1">
        <f t="array" ref="AB171">_xlfn.IFS(AA171="A", "Excellent work! Consistently strong effort and achievement.", AA171="B", "Great job! Solid understanding, keep striving for excellence.",AA171="C", "Meets expectations. Focus on improvement with subject skills.", AA171="D", "Needs improvement. Seek extra help and focus to grasp concepts.", AA171="E", "Needs more efforts. Regular attendance and focus needed.", AA171="","")</f>
        <v/>
      </c>
    </row>
    <row r="172" spans="28:28" x14ac:dyDescent="0.3">
      <c r="AB172" s="2" t="str" cm="1">
        <f t="array" ref="AB172">_xlfn.IFS(AA172="A", "Excellent work! Consistently strong effort and achievement.", AA172="B", "Great job! Solid understanding, keep striving for excellence.",AA172="C", "Meets expectations. Focus on improvement with subject skills.", AA172="D", "Needs improvement. Seek extra help and focus to grasp concepts.", AA172="E", "Needs more efforts. Regular attendance and focus needed.", AA172="","")</f>
        <v/>
      </c>
    </row>
    <row r="173" spans="28:28" x14ac:dyDescent="0.3">
      <c r="AB173" s="2" t="str" cm="1">
        <f t="array" ref="AB173">_xlfn.IFS(AA173="A", "Excellent work! Consistently strong effort and achievement.", AA173="B", "Great job! Solid understanding, keep striving for excellence.",AA173="C", "Meets expectations. Focus on improvement with subject skills.", AA173="D", "Needs improvement. Seek extra help and focus to grasp concepts.", AA173="E", "Needs more efforts. Regular attendance and focus needed.", AA173="","")</f>
        <v/>
      </c>
    </row>
    <row r="174" spans="28:28" x14ac:dyDescent="0.3">
      <c r="AB174" s="2" t="str" cm="1">
        <f t="array" ref="AB174">_xlfn.IFS(AA174="A", "Excellent work! Consistently strong effort and achievement.", AA174="B", "Great job! Solid understanding, keep striving for excellence.",AA174="C", "Meets expectations. Focus on improvement with subject skills.", AA174="D", "Needs improvement. Seek extra help and focus to grasp concepts.", AA174="E", "Needs more efforts. Regular attendance and focus needed.", AA174="","")</f>
        <v/>
      </c>
    </row>
    <row r="175" spans="28:28" x14ac:dyDescent="0.3">
      <c r="AB175" s="2" t="str" cm="1">
        <f t="array" ref="AB175">_xlfn.IFS(AA175="A", "Excellent work! Consistently strong effort and achievement.", AA175="B", "Great job! Solid understanding, keep striving for excellence.",AA175="C", "Meets expectations. Focus on improvement with subject skills.", AA175="D", "Needs improvement. Seek extra help and focus to grasp concepts.", AA175="E", "Needs more efforts. Regular attendance and focus needed.", AA175="","")</f>
        <v/>
      </c>
    </row>
    <row r="176" spans="28:28" x14ac:dyDescent="0.3">
      <c r="AB176" s="2" t="str" cm="1">
        <f t="array" ref="AB176">_xlfn.IFS(AA176="A", "Excellent work! Consistently strong effort and achievement.", AA176="B", "Great job! Solid understanding, keep striving for excellence.",AA176="C", "Meets expectations. Focus on improvement with subject skills.", AA176="D", "Needs improvement. Seek extra help and focus to grasp concepts.", AA176="E", "Needs more efforts. Regular attendance and focus needed.", AA176="","")</f>
        <v/>
      </c>
    </row>
    <row r="177" spans="28:28" x14ac:dyDescent="0.3">
      <c r="AB177" s="2" t="str" cm="1">
        <f t="array" ref="AB177">_xlfn.IFS(AA177="A", "Excellent work! Consistently strong effort and achievement.", AA177="B", "Great job! Solid understanding, keep striving for excellence.",AA177="C", "Meets expectations. Focus on improvement with subject skills.", AA177="D", "Needs improvement. Seek extra help and focus to grasp concepts.", AA177="E", "Needs more efforts. Regular attendance and focus needed.", AA177="","")</f>
        <v/>
      </c>
    </row>
    <row r="178" spans="28:28" x14ac:dyDescent="0.3">
      <c r="AB178" s="2" t="str" cm="1">
        <f t="array" ref="AB178">_xlfn.IFS(AA178="A", "Excellent work! Consistently strong effort and achievement.", AA178="B", "Great job! Solid understanding, keep striving for excellence.",AA178="C", "Meets expectations. Focus on improvement with subject skills.", AA178="D", "Needs improvement. Seek extra help and focus to grasp concepts.", AA178="E", "Needs more efforts. Regular attendance and focus needed.", AA178="","")</f>
        <v/>
      </c>
    </row>
    <row r="179" spans="28:28" x14ac:dyDescent="0.3">
      <c r="AB179" s="2" t="str" cm="1">
        <f t="array" ref="AB179">_xlfn.IFS(AA179="A", "Excellent work! Consistently strong effort and achievement.", AA179="B", "Great job! Solid understanding, keep striving for excellence.",AA179="C", "Meets expectations. Focus on improvement with subject skills.", AA179="D", "Needs improvement. Seek extra help and focus to grasp concepts.", AA179="E", "Needs more efforts. Regular attendance and focus needed.", AA179="","")</f>
        <v/>
      </c>
    </row>
    <row r="180" spans="28:28" x14ac:dyDescent="0.3">
      <c r="AB180" s="2" t="str" cm="1">
        <f t="array" ref="AB180">_xlfn.IFS(AA180="A", "Excellent work! Consistently strong effort and achievement.", AA180="B", "Great job! Solid understanding, keep striving for excellence.",AA180="C", "Meets expectations. Focus on improvement with subject skills.", AA180="D", "Needs improvement. Seek extra help and focus to grasp concepts.", AA180="E", "Needs more efforts. Regular attendance and focus needed.", AA180="","")</f>
        <v/>
      </c>
    </row>
    <row r="181" spans="28:28" x14ac:dyDescent="0.3">
      <c r="AB181" s="2" t="str" cm="1">
        <f t="array" ref="AB181">_xlfn.IFS(AA181="A", "Excellent work! Consistently strong effort and achievement.", AA181="B", "Great job! Solid understanding, keep striving for excellence.",AA181="C", "Meets expectations. Focus on improvement with subject skills.", AA181="D", "Needs improvement. Seek extra help and focus to grasp concepts.", AA181="E", "Needs more efforts. Regular attendance and focus needed.", AA181="","")</f>
        <v/>
      </c>
    </row>
    <row r="182" spans="28:28" x14ac:dyDescent="0.3">
      <c r="AB182" s="2" t="str" cm="1">
        <f t="array" ref="AB182">_xlfn.IFS(AA182="A", "Excellent work! Consistently strong effort and achievement.", AA182="B", "Great job! Solid understanding, keep striving for excellence.",AA182="C", "Meets expectations. Focus on improvement with subject skills.", AA182="D", "Needs improvement. Seek extra help and focus to grasp concepts.", AA182="E", "Needs more efforts. Regular attendance and focus needed.", AA182="","")</f>
        <v/>
      </c>
    </row>
    <row r="183" spans="28:28" x14ac:dyDescent="0.3">
      <c r="AB183" s="2" t="str" cm="1">
        <f t="array" ref="AB183">_xlfn.IFS(AA183="A", "Excellent work! Consistently strong effort and achievement.", AA183="B", "Great job! Solid understanding, keep striving for excellence.",AA183="C", "Meets expectations. Focus on improvement with subject skills.", AA183="D", "Needs improvement. Seek extra help and focus to grasp concepts.", AA183="E", "Needs more efforts. Regular attendance and focus needed.", AA183="","")</f>
        <v/>
      </c>
    </row>
    <row r="184" spans="28:28" x14ac:dyDescent="0.3">
      <c r="AB184" s="2" t="str" cm="1">
        <f t="array" ref="AB184">_xlfn.IFS(AA184="A", "Excellent work! Consistently strong effort and achievement.", AA184="B", "Great job! Solid understanding, keep striving for excellence.",AA184="C", "Meets expectations. Focus on improvement with subject skills.", AA184="D", "Needs improvement. Seek extra help and focus to grasp concepts.", AA184="E", "Needs more efforts. Regular attendance and focus needed.", AA184="","")</f>
        <v/>
      </c>
    </row>
    <row r="185" spans="28:28" x14ac:dyDescent="0.3">
      <c r="AB185" s="2" t="str" cm="1">
        <f t="array" ref="AB185">_xlfn.IFS(AA185="A", "Excellent work! Consistently strong effort and achievement.", AA185="B", "Great job! Solid understanding, keep striving for excellence.",AA185="C", "Meets expectations. Focus on improvement with subject skills.", AA185="D", "Needs improvement. Seek extra help and focus to grasp concepts.", AA185="E", "Needs more efforts. Regular attendance and focus needed.", AA185="","")</f>
        <v/>
      </c>
    </row>
    <row r="186" spans="28:28" x14ac:dyDescent="0.3">
      <c r="AB186" s="2" t="str" cm="1">
        <f t="array" ref="AB186">_xlfn.IFS(AA186="A", "Excellent work! Consistently strong effort and achievement.", AA186="B", "Great job! Solid understanding, keep striving for excellence.",AA186="C", "Meets expectations. Focus on improvement with subject skills.", AA186="D", "Needs improvement. Seek extra help and focus to grasp concepts.", AA186="E", "Needs more efforts. Regular attendance and focus needed.", AA186="","")</f>
        <v/>
      </c>
    </row>
    <row r="187" spans="28:28" x14ac:dyDescent="0.3">
      <c r="AB187" s="2" t="str" cm="1">
        <f t="array" ref="AB187">_xlfn.IFS(AA187="A", "Excellent work! Consistently strong effort and achievement.", AA187="B", "Great job! Solid understanding, keep striving for excellence.",AA187="C", "Meets expectations. Focus on improvement with subject skills.", AA187="D", "Needs improvement. Seek extra help and focus to grasp concepts.", AA187="E", "Needs more efforts. Regular attendance and focus needed.", AA187="","")</f>
        <v/>
      </c>
    </row>
    <row r="188" spans="28:28" x14ac:dyDescent="0.3">
      <c r="AB188" s="2" t="str" cm="1">
        <f t="array" ref="AB188">_xlfn.IFS(AA188="A", "Excellent work! Consistently strong effort and achievement.", AA188="B", "Great job! Solid understanding, keep striving for excellence.",AA188="C", "Meets expectations. Focus on improvement with subject skills.", AA188="D", "Needs improvement. Seek extra help and focus to grasp concepts.", AA188="E", "Needs more efforts. Regular attendance and focus needed.", AA188="","")</f>
        <v/>
      </c>
    </row>
    <row r="189" spans="28:28" x14ac:dyDescent="0.3">
      <c r="AB189" s="2" t="str" cm="1">
        <f t="array" ref="AB189">_xlfn.IFS(AA189="A", "Excellent work! Consistently strong effort and achievement.", AA189="B", "Great job! Solid understanding, keep striving for excellence.",AA189="C", "Meets expectations. Focus on improvement with subject skills.", AA189="D", "Needs improvement. Seek extra help and focus to grasp concepts.", AA189="E", "Needs more efforts. Regular attendance and focus needed.", AA189="","")</f>
        <v/>
      </c>
    </row>
    <row r="190" spans="28:28" x14ac:dyDescent="0.3">
      <c r="AB190" s="2" t="str" cm="1">
        <f t="array" ref="AB190">_xlfn.IFS(AA190="A", "Excellent work! Consistently strong effort and achievement.", AA190="B", "Great job! Solid understanding, keep striving for excellence.",AA190="C", "Meets expectations. Focus on improvement with subject skills.", AA190="D", "Needs improvement. Seek extra help and focus to grasp concepts.", AA190="E", "Needs more efforts. Regular attendance and focus needed.", AA190="","")</f>
        <v/>
      </c>
    </row>
    <row r="191" spans="28:28" x14ac:dyDescent="0.3">
      <c r="AB191" s="2" t="str" cm="1">
        <f t="array" ref="AB191">_xlfn.IFS(AA191="A", "Excellent work! Consistently strong effort and achievement.", AA191="B", "Great job! Solid understanding, keep striving for excellence.",AA191="C", "Meets expectations. Focus on improvement with subject skills.", AA191="D", "Needs improvement. Seek extra help and focus to grasp concepts.", AA191="E", "Needs more efforts. Regular attendance and focus needed.", AA191="","")</f>
        <v/>
      </c>
    </row>
    <row r="192" spans="28:28" x14ac:dyDescent="0.3">
      <c r="AB192" s="2" t="str" cm="1">
        <f t="array" ref="AB192">_xlfn.IFS(AA192="A", "Excellent work! Consistently strong effort and achievement.", AA192="B", "Great job! Solid understanding, keep striving for excellence.",AA192="C", "Meets expectations. Focus on improvement with subject skills.", AA192="D", "Needs improvement. Seek extra help and focus to grasp concepts.", AA192="E", "Needs more efforts. Regular attendance and focus needed.", AA192="","")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8320-4DC6-4235-AE90-DC75DA0964E1}">
  <dimension ref="A1:AB14"/>
  <sheetViews>
    <sheetView topLeftCell="S1" workbookViewId="0">
      <selection activeCell="AB2" sqref="AB2"/>
    </sheetView>
  </sheetViews>
  <sheetFormatPr defaultRowHeight="14.4" x14ac:dyDescent="0.3"/>
  <cols>
    <col min="1" max="1" width="6.21875" bestFit="1" customWidth="1"/>
    <col min="2" max="2" width="16.21875" customWidth="1"/>
    <col min="3" max="3" width="14" customWidth="1"/>
    <col min="4" max="4" width="11.21875" customWidth="1"/>
    <col min="5" max="5" width="15.21875" customWidth="1"/>
    <col min="6" max="6" width="11.44140625" customWidth="1"/>
    <col min="7" max="7" width="11.21875" customWidth="1"/>
    <col min="8" max="8" width="15.21875" customWidth="1"/>
    <col min="9" max="9" width="11.77734375" customWidth="1"/>
    <col min="10" max="10" width="11.21875" customWidth="1"/>
    <col min="11" max="11" width="15.21875" customWidth="1"/>
    <col min="12" max="12" width="9.44140625" customWidth="1"/>
    <col min="13" max="13" width="11.21875" customWidth="1"/>
    <col min="14" max="14" width="15.21875" customWidth="1"/>
    <col min="15" max="15" width="9.77734375" customWidth="1"/>
    <col min="16" max="16" width="11.21875" customWidth="1"/>
    <col min="17" max="19" width="16.33203125" customWidth="1"/>
    <col min="20" max="21" width="15.21875" customWidth="1"/>
    <col min="22" max="22" width="13.5546875" customWidth="1"/>
    <col min="23" max="23" width="15.21875" bestFit="1" customWidth="1"/>
    <col min="24" max="24" width="5.21875" customWidth="1"/>
    <col min="25" max="25" width="8.21875" bestFit="1" customWidth="1"/>
    <col min="26" max="26" width="12" bestFit="1" customWidth="1"/>
    <col min="27" max="27" width="6.44140625" bestFit="1" customWidth="1"/>
    <col min="28" max="28" width="60" bestFit="1" customWidth="1"/>
  </cols>
  <sheetData>
    <row r="1" spans="1:28" ht="18.75" customHeight="1" x14ac:dyDescent="0.3">
      <c r="A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10</v>
      </c>
      <c r="G1" s="1" t="s">
        <v>11</v>
      </c>
      <c r="H1" s="1" t="s">
        <v>12</v>
      </c>
      <c r="I1" s="1" t="s">
        <v>10</v>
      </c>
      <c r="J1" s="1" t="s">
        <v>11</v>
      </c>
      <c r="K1" s="1" t="s">
        <v>12</v>
      </c>
      <c r="L1" s="1" t="s">
        <v>10</v>
      </c>
      <c r="M1" s="1" t="s">
        <v>11</v>
      </c>
      <c r="N1" s="1" t="s">
        <v>12</v>
      </c>
      <c r="O1" s="1" t="s">
        <v>10</v>
      </c>
      <c r="P1" s="1" t="s">
        <v>11</v>
      </c>
      <c r="Q1" s="1" t="s">
        <v>12</v>
      </c>
      <c r="R1" s="1" t="s">
        <v>10</v>
      </c>
      <c r="S1" s="1" t="s">
        <v>11</v>
      </c>
      <c r="T1" s="1" t="s">
        <v>12</v>
      </c>
      <c r="U1" s="1" t="s">
        <v>10</v>
      </c>
      <c r="V1" s="1" t="s">
        <v>11</v>
      </c>
      <c r="W1" s="1" t="s">
        <v>12</v>
      </c>
      <c r="X1" s="3" t="s">
        <v>13</v>
      </c>
      <c r="Y1" s="3" t="s">
        <v>14</v>
      </c>
      <c r="Z1" s="3" t="s">
        <v>15</v>
      </c>
      <c r="AA1" s="1" t="s">
        <v>16</v>
      </c>
      <c r="AB1" s="1" t="s">
        <v>17</v>
      </c>
    </row>
    <row r="2" spans="1:28" x14ac:dyDescent="0.3">
      <c r="A2">
        <v>1</v>
      </c>
      <c r="B2" t="s">
        <v>42</v>
      </c>
      <c r="C2" t="str">
        <f>IF(ISBLANK(A2),"","English written")</f>
        <v>English written</v>
      </c>
      <c r="D2">
        <f>IF(ISBLANK(A2),"",60)</f>
        <v>60</v>
      </c>
      <c r="E2">
        <v>48</v>
      </c>
      <c r="F2" t="str">
        <f>IF(ISBLANK(A2),"","English oral")</f>
        <v>English oral</v>
      </c>
      <c r="G2">
        <f>IF(ISBLANK(A2),"",40)</f>
        <v>40</v>
      </c>
      <c r="H2">
        <v>28</v>
      </c>
      <c r="I2" t="str">
        <f>IF(ISBLANK(A2),"","Math written")</f>
        <v>Math written</v>
      </c>
      <c r="J2">
        <f>IF(ISBLANK(A2),"",60)</f>
        <v>60</v>
      </c>
      <c r="K2">
        <v>59</v>
      </c>
      <c r="L2" t="str">
        <f>IF(ISBLANK(A2),"","Math oral")</f>
        <v>Math oral</v>
      </c>
      <c r="M2">
        <f>IF(ISBLANK(A2),"",40)</f>
        <v>40</v>
      </c>
      <c r="N2">
        <v>36</v>
      </c>
      <c r="O2" t="str">
        <f>IF(ISBLANK(A2),"","Hindi oral")</f>
        <v>Hindi oral</v>
      </c>
      <c r="P2">
        <f>IF(ISBLANK(A2),"",40)</f>
        <v>40</v>
      </c>
      <c r="Q2">
        <v>35</v>
      </c>
      <c r="R2" t="str">
        <f>IF(ISBLANK(A2),"","Hindi written")</f>
        <v>Hindi written</v>
      </c>
      <c r="S2">
        <f>IF(ISBLANK(A2),"",60)</f>
        <v>60</v>
      </c>
      <c r="T2">
        <v>50</v>
      </c>
      <c r="U2" t="str">
        <f>IF(ISBLANK(A2),"","GA/CON")</f>
        <v>GA/CON</v>
      </c>
      <c r="V2">
        <f>IF(ISBLANK(A2),"",50)</f>
        <v>50</v>
      </c>
      <c r="W2">
        <v>35</v>
      </c>
      <c r="X2" s="4">
        <f>D2+G2+J2+M2+P2+S2+V2</f>
        <v>350</v>
      </c>
      <c r="Y2">
        <f>E2+H2+K2+N2+Q2+T2+W2</f>
        <v>291</v>
      </c>
      <c r="Z2">
        <f>Y2/X2*100</f>
        <v>83.142857142857139</v>
      </c>
      <c r="AA2" s="5" t="str" cm="1">
        <f t="array" ref="AA2">_xlfn.IFS(Z2&gt;75, "A", Z2&gt;60, "B", Z2&gt;45, "C", Z2&gt;33, "D", Z2&lt;33, "E")</f>
        <v>A</v>
      </c>
      <c r="AB2" t="str" cm="1">
        <f t="array" ref="AB2">_xlfn.IFS(AA2="A", "Excellent work! Consistently strong effort and achievement.", AA2="B", "Great job! Solid understanding, keep striving for excellence.",AA2="C", "Meets expectations. Focus on improvement with subject skills.", AA2="D", "Needs improvement. Seek extra help and focus to grasp concepts.", AA2="E", "Needs more efforts. Regular attendance and focus needed.")</f>
        <v>Excellent work! Consistently strong effort and achievement.</v>
      </c>
    </row>
    <row r="3" spans="1:28" x14ac:dyDescent="0.3">
      <c r="A3">
        <v>2</v>
      </c>
      <c r="B3" t="s">
        <v>43</v>
      </c>
      <c r="C3" t="str">
        <f t="shared" ref="C3:C13" si="0">IF(ISBLANK(A3),"","English written")</f>
        <v>English written</v>
      </c>
      <c r="D3">
        <f t="shared" ref="D3:D13" si="1">IF(ISBLANK(A3),"",60)</f>
        <v>60</v>
      </c>
      <c r="E3">
        <v>43</v>
      </c>
      <c r="F3" t="str">
        <f t="shared" ref="F3:F14" si="2">IF(ISBLANK(A3),"","English oral")</f>
        <v>English oral</v>
      </c>
      <c r="G3">
        <f t="shared" ref="G3:G13" si="3">IF(ISBLANK(A3),"",40)</f>
        <v>40</v>
      </c>
      <c r="H3">
        <v>16</v>
      </c>
      <c r="I3" t="str">
        <f t="shared" ref="I3:I14" si="4">IF(ISBLANK(A3),"","Math written")</f>
        <v>Math written</v>
      </c>
      <c r="J3">
        <f t="shared" ref="J3:J14" si="5">IF(ISBLANK(A3),"",60)</f>
        <v>60</v>
      </c>
      <c r="K3">
        <v>50</v>
      </c>
      <c r="L3" t="str">
        <f t="shared" ref="L3:L14" si="6">IF(ISBLANK(A3),"","Math oral")</f>
        <v>Math oral</v>
      </c>
      <c r="M3">
        <f t="shared" ref="M3:M14" si="7">IF(ISBLANK(A3),"",40)</f>
        <v>40</v>
      </c>
      <c r="N3">
        <v>24</v>
      </c>
      <c r="O3" t="str">
        <f t="shared" ref="O3:O13" si="8">IF(ISBLANK(A3),"","Hindi oral")</f>
        <v>Hindi oral</v>
      </c>
      <c r="P3">
        <f t="shared" ref="P3:P14" si="9">IF(ISBLANK(A3),"",40)</f>
        <v>40</v>
      </c>
      <c r="Q3">
        <v>24</v>
      </c>
      <c r="R3" t="str">
        <f t="shared" ref="R3:R14" si="10">IF(ISBLANK(A3),"","Hindi written")</f>
        <v>Hindi written</v>
      </c>
      <c r="S3">
        <f t="shared" ref="S3:S14" si="11">IF(ISBLANK(A3),"",60)</f>
        <v>60</v>
      </c>
      <c r="T3">
        <v>42</v>
      </c>
      <c r="U3" t="str">
        <f t="shared" ref="U3:U14" si="12">IF(ISBLANK(A3),"","GA/CON")</f>
        <v>GA/CON</v>
      </c>
      <c r="V3">
        <f t="shared" ref="V3:V14" si="13">IF(ISBLANK(A3),"",50)</f>
        <v>50</v>
      </c>
      <c r="W3">
        <v>25</v>
      </c>
      <c r="X3" s="4">
        <f t="shared" ref="X3:X13" si="14">D3+G3+J3+M3+P3+S3+V3</f>
        <v>350</v>
      </c>
      <c r="Y3">
        <f t="shared" ref="Y3:Y14" si="15">E3+H3+K3+N3+Q3+T3+W3</f>
        <v>224</v>
      </c>
      <c r="Z3">
        <f t="shared" ref="Z3:Z13" si="16">Y3/X3*100</f>
        <v>64</v>
      </c>
      <c r="AA3" s="5" t="str" cm="1">
        <f t="array" ref="AA3">_xlfn.IFS(Z3&gt;75, "A", Z3&gt;60, "B", Z3&gt;45, "C", Z3&gt;33, "D", Z3&lt;33, "E")</f>
        <v>B</v>
      </c>
      <c r="AB3" t="str" cm="1">
        <f t="array" ref="AB3">_xlfn.IFS(AA3="A", "Excellent work! Consistently strong effort and achievement.", AA3="B", "Great job! Solid understanding, keep striving for excellence.",AA3="C", "Meets expectations. Focus on improvement with subject skills.", AA3="D", "Needs improvement. Seek extra help and focus to grasp concepts.", AA3="E", "Needs more efforts. Regular attendance and focus needed.")</f>
        <v>Great job! Solid understanding, keep striving for excellence.</v>
      </c>
    </row>
    <row r="4" spans="1:28" x14ac:dyDescent="0.3">
      <c r="A4">
        <v>3</v>
      </c>
      <c r="B4" t="s">
        <v>44</v>
      </c>
      <c r="C4" t="str">
        <f t="shared" si="0"/>
        <v>English written</v>
      </c>
      <c r="D4">
        <f t="shared" si="1"/>
        <v>60</v>
      </c>
      <c r="E4">
        <v>57</v>
      </c>
      <c r="F4" t="str">
        <f t="shared" si="2"/>
        <v>English oral</v>
      </c>
      <c r="G4">
        <f t="shared" si="3"/>
        <v>40</v>
      </c>
      <c r="H4">
        <v>28</v>
      </c>
      <c r="I4" t="str">
        <f t="shared" si="4"/>
        <v>Math written</v>
      </c>
      <c r="J4">
        <f t="shared" si="5"/>
        <v>60</v>
      </c>
      <c r="K4">
        <v>58</v>
      </c>
      <c r="L4" t="str">
        <f t="shared" si="6"/>
        <v>Math oral</v>
      </c>
      <c r="M4">
        <f t="shared" si="7"/>
        <v>40</v>
      </c>
      <c r="N4">
        <v>40</v>
      </c>
      <c r="O4" t="str">
        <f t="shared" si="8"/>
        <v>Hindi oral</v>
      </c>
      <c r="P4">
        <f t="shared" si="9"/>
        <v>40</v>
      </c>
      <c r="Q4">
        <v>36</v>
      </c>
      <c r="R4" t="str">
        <f t="shared" si="10"/>
        <v>Hindi written</v>
      </c>
      <c r="S4">
        <f t="shared" si="11"/>
        <v>60</v>
      </c>
      <c r="T4">
        <v>59</v>
      </c>
      <c r="U4" t="str">
        <f t="shared" si="12"/>
        <v>GA/CON</v>
      </c>
      <c r="V4">
        <f t="shared" si="13"/>
        <v>50</v>
      </c>
      <c r="W4">
        <v>34</v>
      </c>
      <c r="X4" s="4">
        <f t="shared" si="14"/>
        <v>350</v>
      </c>
      <c r="Y4">
        <f t="shared" si="15"/>
        <v>312</v>
      </c>
      <c r="Z4">
        <f t="shared" si="16"/>
        <v>89.142857142857139</v>
      </c>
      <c r="AA4" s="5" t="str" cm="1">
        <f t="array" ref="AA4">_xlfn.IFS(Z4&gt;75, "A", Z4&gt;60, "B", Z4&gt;45, "C", Z4&gt;33, "D", Z4&lt;33, "E")</f>
        <v>A</v>
      </c>
      <c r="AB4" t="str" cm="1">
        <f t="array" ref="AB4">_xlfn.IFS(AA4="A", "Excellent work! Consistently strong effort and achievement.", AA4="B", "Great job! Solid understanding, keep striving for excellence.",AA4="C", "Meets expectations. Focus on improvement with subject skills.", AA4="D", "Needs improvement. Seek extra help and focus to grasp concepts.", AA4="E", "Needs more efforts. Regular attendance and focus needed.")</f>
        <v>Excellent work! Consistently strong effort and achievement.</v>
      </c>
    </row>
    <row r="5" spans="1:28" x14ac:dyDescent="0.3">
      <c r="A5">
        <v>4</v>
      </c>
      <c r="B5" t="s">
        <v>45</v>
      </c>
      <c r="C5" t="str">
        <f t="shared" si="0"/>
        <v>English written</v>
      </c>
      <c r="D5">
        <f t="shared" si="1"/>
        <v>60</v>
      </c>
      <c r="E5">
        <v>20</v>
      </c>
      <c r="F5" t="str">
        <f t="shared" si="2"/>
        <v>English oral</v>
      </c>
      <c r="G5">
        <f t="shared" si="3"/>
        <v>40</v>
      </c>
      <c r="H5">
        <v>12</v>
      </c>
      <c r="I5" t="str">
        <f t="shared" si="4"/>
        <v>Math written</v>
      </c>
      <c r="J5">
        <f t="shared" si="5"/>
        <v>60</v>
      </c>
      <c r="K5">
        <v>17</v>
      </c>
      <c r="L5" t="str">
        <f t="shared" si="6"/>
        <v>Math oral</v>
      </c>
      <c r="M5">
        <f t="shared" si="7"/>
        <v>40</v>
      </c>
      <c r="N5">
        <v>8</v>
      </c>
      <c r="O5" t="str">
        <f t="shared" si="8"/>
        <v>Hindi oral</v>
      </c>
      <c r="P5">
        <f t="shared" si="9"/>
        <v>40</v>
      </c>
      <c r="Q5">
        <v>24</v>
      </c>
      <c r="R5" t="str">
        <f t="shared" si="10"/>
        <v>Hindi written</v>
      </c>
      <c r="S5">
        <f t="shared" si="11"/>
        <v>60</v>
      </c>
      <c r="T5">
        <v>57</v>
      </c>
      <c r="U5" t="str">
        <f t="shared" si="12"/>
        <v>GA/CON</v>
      </c>
      <c r="V5">
        <f t="shared" si="13"/>
        <v>50</v>
      </c>
      <c r="W5">
        <v>24</v>
      </c>
      <c r="X5" s="4">
        <f t="shared" si="14"/>
        <v>350</v>
      </c>
      <c r="Y5">
        <f t="shared" si="15"/>
        <v>162</v>
      </c>
      <c r="Z5">
        <f t="shared" si="16"/>
        <v>46.285714285714285</v>
      </c>
      <c r="AA5" s="5" t="str" cm="1">
        <f t="array" ref="AA5">_xlfn.IFS(Z5&gt;75, "A", Z5&gt;60, "B", Z5&gt;45, "C", Z5&gt;33, "D", Z5&lt;33, "E")</f>
        <v>C</v>
      </c>
      <c r="AB5" t="str" cm="1">
        <f t="array" ref="AB5">_xlfn.IFS(AA5="A", "Excellent work! Consistently strong effort and achievement.", AA5="B", "Great job! Solid understanding, keep striving for excellence.",AA5="C", "Meets expectations. Focus on improvement with subject skills.", AA5="D", "Needs improvement. Seek extra help and focus to grasp concepts.", AA5="E", "Needs more efforts. Regular attendance and focus needed.")</f>
        <v>Meets expectations. Focus on improvement with subject skills.</v>
      </c>
    </row>
    <row r="6" spans="1:28" x14ac:dyDescent="0.3">
      <c r="A6">
        <v>5</v>
      </c>
      <c r="B6" t="s">
        <v>46</v>
      </c>
      <c r="C6" t="str">
        <f t="shared" si="0"/>
        <v>English written</v>
      </c>
      <c r="D6">
        <f t="shared" si="1"/>
        <v>60</v>
      </c>
      <c r="E6">
        <v>31</v>
      </c>
      <c r="F6" t="str">
        <f t="shared" si="2"/>
        <v>English oral</v>
      </c>
      <c r="G6">
        <f t="shared" si="3"/>
        <v>40</v>
      </c>
      <c r="H6">
        <v>28</v>
      </c>
      <c r="I6" t="str">
        <f t="shared" si="4"/>
        <v>Math written</v>
      </c>
      <c r="J6">
        <f t="shared" si="5"/>
        <v>60</v>
      </c>
      <c r="K6">
        <v>25</v>
      </c>
      <c r="L6" t="str">
        <f t="shared" si="6"/>
        <v>Math oral</v>
      </c>
      <c r="M6">
        <f t="shared" si="7"/>
        <v>40</v>
      </c>
      <c r="N6">
        <v>24</v>
      </c>
      <c r="O6" t="str">
        <f t="shared" si="8"/>
        <v>Hindi oral</v>
      </c>
      <c r="P6">
        <f t="shared" si="9"/>
        <v>40</v>
      </c>
      <c r="Q6">
        <v>17</v>
      </c>
      <c r="R6" t="str">
        <f t="shared" si="10"/>
        <v>Hindi written</v>
      </c>
      <c r="S6">
        <f t="shared" si="11"/>
        <v>60</v>
      </c>
      <c r="T6">
        <v>49</v>
      </c>
      <c r="U6" t="str">
        <f t="shared" si="12"/>
        <v>GA/CON</v>
      </c>
      <c r="V6">
        <f t="shared" si="13"/>
        <v>50</v>
      </c>
      <c r="W6">
        <v>12</v>
      </c>
      <c r="X6" s="4">
        <f t="shared" si="14"/>
        <v>350</v>
      </c>
      <c r="Y6">
        <f t="shared" si="15"/>
        <v>186</v>
      </c>
      <c r="Z6">
        <f t="shared" si="16"/>
        <v>53.142857142857146</v>
      </c>
      <c r="AA6" s="5" t="str" cm="1">
        <f t="array" ref="AA6">_xlfn.IFS(Z6&gt;75, "A", Z6&gt;60, "B", Z6&gt;45, "C", Z6&gt;33, "D", Z6&lt;33, "E")</f>
        <v>C</v>
      </c>
      <c r="AB6" t="str" cm="1">
        <f t="array" ref="AB6">_xlfn.IFS(AA6="A", "Excellent work! Consistently strong effort and achievement.", AA6="B", "Great job! Solid understanding, keep striving for excellence.",AA6="C", "Meets expectations. Focus on improvement with subject skills.", AA6="D", "Needs improvement. Seek extra help and focus to grasp concepts.", AA6="E", "Needs more efforts. Regular attendance and focus needed.")</f>
        <v>Meets expectations. Focus on improvement with subject skills.</v>
      </c>
    </row>
    <row r="7" spans="1:28" x14ac:dyDescent="0.3">
      <c r="A7">
        <v>6</v>
      </c>
      <c r="B7" t="s">
        <v>47</v>
      </c>
      <c r="C7" t="str">
        <f t="shared" si="0"/>
        <v>English written</v>
      </c>
      <c r="D7">
        <f t="shared" si="1"/>
        <v>60</v>
      </c>
      <c r="E7">
        <v>35</v>
      </c>
      <c r="F7" t="str">
        <f t="shared" si="2"/>
        <v>English oral</v>
      </c>
      <c r="G7">
        <f t="shared" si="3"/>
        <v>40</v>
      </c>
      <c r="H7">
        <v>28</v>
      </c>
      <c r="I7" t="str">
        <f t="shared" si="4"/>
        <v>Math written</v>
      </c>
      <c r="J7">
        <f t="shared" si="5"/>
        <v>60</v>
      </c>
      <c r="K7">
        <v>46</v>
      </c>
      <c r="L7" t="str">
        <f t="shared" si="6"/>
        <v>Math oral</v>
      </c>
      <c r="M7">
        <f t="shared" si="7"/>
        <v>40</v>
      </c>
      <c r="N7">
        <v>40</v>
      </c>
      <c r="O7" t="str">
        <f t="shared" si="8"/>
        <v>Hindi oral</v>
      </c>
      <c r="P7">
        <f t="shared" si="9"/>
        <v>40</v>
      </c>
      <c r="Q7">
        <v>39</v>
      </c>
      <c r="R7" t="str">
        <f t="shared" si="10"/>
        <v>Hindi written</v>
      </c>
      <c r="S7">
        <f t="shared" si="11"/>
        <v>60</v>
      </c>
      <c r="T7">
        <v>53</v>
      </c>
      <c r="U7" t="str">
        <f t="shared" si="12"/>
        <v>GA/CON</v>
      </c>
      <c r="V7">
        <f t="shared" si="13"/>
        <v>50</v>
      </c>
      <c r="W7">
        <v>40</v>
      </c>
      <c r="X7" s="4">
        <f t="shared" si="14"/>
        <v>350</v>
      </c>
      <c r="Y7">
        <f t="shared" si="15"/>
        <v>281</v>
      </c>
      <c r="Z7">
        <f t="shared" si="16"/>
        <v>80.285714285714278</v>
      </c>
      <c r="AA7" s="5" t="str" cm="1">
        <f t="array" ref="AA7">_xlfn.IFS(Z7&gt;75, "A", Z7&gt;60, "B", Z7&gt;45, "C", Z7&gt;33, "D", Z7&lt;33, "E")</f>
        <v>A</v>
      </c>
      <c r="AB7" t="str" cm="1">
        <f t="array" ref="AB7">_xlfn.IFS(AA7="A", "Excellent work! Consistently strong effort and achievement.", AA7="B", "Great job! Solid understanding, keep striving for excellence.",AA7="C", "Meets expectations. Focus on improvement with subject skills.", AA7="D", "Needs improvement. Seek extra help and focus to grasp concepts.", AA7="E", "Needs more efforts. Regular attendance and focus needed.")</f>
        <v>Excellent work! Consistently strong effort and achievement.</v>
      </c>
    </row>
    <row r="8" spans="1:28" x14ac:dyDescent="0.3">
      <c r="A8">
        <v>7</v>
      </c>
      <c r="B8" t="s">
        <v>48</v>
      </c>
      <c r="C8" t="str">
        <f t="shared" si="0"/>
        <v>English written</v>
      </c>
      <c r="D8">
        <f t="shared" si="1"/>
        <v>60</v>
      </c>
      <c r="E8">
        <v>43</v>
      </c>
      <c r="F8" t="str">
        <f t="shared" si="2"/>
        <v>English oral</v>
      </c>
      <c r="G8">
        <f t="shared" si="3"/>
        <v>40</v>
      </c>
      <c r="H8">
        <v>32</v>
      </c>
      <c r="I8" t="str">
        <f t="shared" si="4"/>
        <v>Math written</v>
      </c>
      <c r="J8">
        <v>60</v>
      </c>
      <c r="K8">
        <v>56</v>
      </c>
      <c r="L8" t="str">
        <f t="shared" si="6"/>
        <v>Math oral</v>
      </c>
      <c r="M8">
        <f t="shared" si="7"/>
        <v>40</v>
      </c>
      <c r="N8">
        <v>36</v>
      </c>
      <c r="O8" t="str">
        <f t="shared" si="8"/>
        <v>Hindi oral</v>
      </c>
      <c r="P8">
        <f t="shared" si="9"/>
        <v>40</v>
      </c>
      <c r="Q8">
        <v>40</v>
      </c>
      <c r="R8" t="str">
        <f t="shared" si="10"/>
        <v>Hindi written</v>
      </c>
      <c r="S8">
        <f t="shared" si="11"/>
        <v>60</v>
      </c>
      <c r="T8">
        <v>56</v>
      </c>
      <c r="U8" t="str">
        <f t="shared" si="12"/>
        <v>GA/CON</v>
      </c>
      <c r="V8">
        <f t="shared" si="13"/>
        <v>50</v>
      </c>
      <c r="W8">
        <v>40</v>
      </c>
      <c r="X8" s="4">
        <f t="shared" si="14"/>
        <v>350</v>
      </c>
      <c r="Y8">
        <f t="shared" si="15"/>
        <v>303</v>
      </c>
      <c r="Z8">
        <f t="shared" si="16"/>
        <v>86.571428571428584</v>
      </c>
      <c r="AA8" s="5" t="str" cm="1">
        <f t="array" ref="AA8">_xlfn.IFS(Z8&gt;75, "A", Z8&gt;60, "B", Z8&gt;45, "C", Z8&gt;33, "D", Z8&lt;33, "E")</f>
        <v>A</v>
      </c>
      <c r="AB8" t="str" cm="1">
        <f t="array" ref="AB8">_xlfn.IFS(AA8="A", "Excellent work! Consistently strong effort and achievement.", AA8="B", "Great job! Solid understanding, keep striving for excellence.",AA8="C", "Meets expectations. Focus on improvement with subject skills.", AA8="D", "Needs improvement. Seek extra help and focus to grasp concepts.", AA8="E", "Needs more efforts. Regular attendance and focus needed.")</f>
        <v>Excellent work! Consistently strong effort and achievement.</v>
      </c>
    </row>
    <row r="9" spans="1:28" x14ac:dyDescent="0.3">
      <c r="A9">
        <v>8</v>
      </c>
      <c r="B9" t="s">
        <v>49</v>
      </c>
      <c r="C9" t="str">
        <f t="shared" si="0"/>
        <v>English written</v>
      </c>
      <c r="D9">
        <f t="shared" si="1"/>
        <v>60</v>
      </c>
      <c r="E9">
        <v>33</v>
      </c>
      <c r="F9" t="str">
        <f t="shared" si="2"/>
        <v>English oral</v>
      </c>
      <c r="G9">
        <f t="shared" si="3"/>
        <v>40</v>
      </c>
      <c r="H9">
        <v>12</v>
      </c>
      <c r="I9" t="str">
        <f t="shared" si="4"/>
        <v>Math written</v>
      </c>
      <c r="J9">
        <f>IF(ISBLANK(A9),"",60)</f>
        <v>60</v>
      </c>
      <c r="K9">
        <v>30</v>
      </c>
      <c r="L9" t="str">
        <f t="shared" si="6"/>
        <v>Math oral</v>
      </c>
      <c r="M9">
        <f t="shared" si="7"/>
        <v>40</v>
      </c>
      <c r="N9">
        <v>12</v>
      </c>
      <c r="O9" t="str">
        <f t="shared" si="8"/>
        <v>Hindi oral</v>
      </c>
      <c r="P9">
        <f t="shared" si="9"/>
        <v>40</v>
      </c>
      <c r="Q9">
        <v>35</v>
      </c>
      <c r="R9" t="str">
        <f t="shared" si="10"/>
        <v>Hindi written</v>
      </c>
      <c r="S9">
        <f t="shared" si="11"/>
        <v>60</v>
      </c>
      <c r="T9">
        <v>43</v>
      </c>
      <c r="U9" t="str">
        <f t="shared" si="12"/>
        <v>GA/CON</v>
      </c>
      <c r="V9">
        <f t="shared" si="13"/>
        <v>50</v>
      </c>
      <c r="W9">
        <v>38</v>
      </c>
      <c r="X9" s="4">
        <f t="shared" si="14"/>
        <v>350</v>
      </c>
      <c r="Y9">
        <f t="shared" si="15"/>
        <v>203</v>
      </c>
      <c r="Z9">
        <f t="shared" si="16"/>
        <v>57.999999999999993</v>
      </c>
      <c r="AA9" s="5" t="str" cm="1">
        <f t="array" ref="AA9">_xlfn.IFS(Z9&gt;75, "A", Z9&gt;60, "B", Z9&gt;45, "C", Z9&gt;33, "D", Z9&lt;33, "E")</f>
        <v>C</v>
      </c>
      <c r="AB9" t="str" cm="1">
        <f t="array" ref="AB9">_xlfn.IFS(AA9="A", "Excellent work! Consistently strong effort and achievement.", AA9="B", "Great job! Solid understanding, keep striving for excellence.",AA9="C", "Meets expectations. Focus on improvement with subject skills.", AA9="D", "Needs improvement. Seek extra help and focus to grasp concepts.", AA9="E", "Needs more efforts. Regular attendance and focus needed.")</f>
        <v>Meets expectations. Focus on improvement with subject skills.</v>
      </c>
    </row>
    <row r="10" spans="1:28" x14ac:dyDescent="0.3">
      <c r="A10">
        <v>9</v>
      </c>
      <c r="B10" t="s">
        <v>50</v>
      </c>
      <c r="C10" t="str">
        <f t="shared" si="0"/>
        <v>English written</v>
      </c>
      <c r="D10">
        <f t="shared" si="1"/>
        <v>60</v>
      </c>
      <c r="E10">
        <v>33</v>
      </c>
      <c r="F10" t="str">
        <f t="shared" si="2"/>
        <v>English oral</v>
      </c>
      <c r="G10">
        <f t="shared" si="3"/>
        <v>40</v>
      </c>
      <c r="H10">
        <v>0</v>
      </c>
      <c r="I10" t="str">
        <f t="shared" si="4"/>
        <v>Math written</v>
      </c>
      <c r="J10">
        <f t="shared" si="5"/>
        <v>60</v>
      </c>
      <c r="K10">
        <v>30</v>
      </c>
      <c r="L10" t="str">
        <f t="shared" si="6"/>
        <v>Math oral</v>
      </c>
      <c r="M10">
        <f t="shared" si="7"/>
        <v>40</v>
      </c>
      <c r="N10">
        <v>36</v>
      </c>
      <c r="O10" t="str">
        <f t="shared" si="8"/>
        <v>Hindi oral</v>
      </c>
      <c r="P10">
        <f>IF(ISBLANK(A10),"",40)</f>
        <v>40</v>
      </c>
      <c r="Q10">
        <v>35</v>
      </c>
      <c r="R10" t="str">
        <f>IF(ISBLANK(A10),"","Hindi written")</f>
        <v>Hindi written</v>
      </c>
      <c r="S10">
        <f>IF(ISBLANK(A10),"",60)</f>
        <v>60</v>
      </c>
      <c r="T10">
        <v>51</v>
      </c>
      <c r="U10" t="str">
        <f>IF(ISBLANK(A10),"","GA/CON")</f>
        <v>GA/CON</v>
      </c>
      <c r="V10">
        <f>IF(ISBLANK(A10),"",50)</f>
        <v>50</v>
      </c>
      <c r="W10">
        <v>38</v>
      </c>
      <c r="X10" s="4">
        <f t="shared" si="14"/>
        <v>350</v>
      </c>
      <c r="Y10">
        <f t="shared" si="15"/>
        <v>223</v>
      </c>
      <c r="Z10">
        <f t="shared" si="16"/>
        <v>63.714285714285715</v>
      </c>
      <c r="AA10" s="5" t="str" cm="1">
        <f t="array" ref="AA10">_xlfn.IFS(Z10&gt;75, "A", Z10&gt;60, "B", Z10&gt;45, "C", Z10&gt;33, "D", Z10&lt;33, "E")</f>
        <v>B</v>
      </c>
      <c r="AB10" t="str" cm="1">
        <f t="array" ref="AB10">_xlfn.IFS(AA10="A", "Excellent work! Consistently strong effort and achievement.", AA10="B", "Great job! Solid understanding, keep striving for excellence.",AA10="C", "Meets expectations. Focus on improvement with subject skills.", AA10="D", "Needs improvement. Seek extra help and focus to grasp concepts.", AA10="E", "Needs more efforts. Regular attendance and focus needed.")</f>
        <v>Great job! Solid understanding, keep striving for excellence.</v>
      </c>
    </row>
    <row r="11" spans="1:28" x14ac:dyDescent="0.3">
      <c r="A11">
        <v>10</v>
      </c>
      <c r="B11" t="s">
        <v>8</v>
      </c>
      <c r="C11" t="str">
        <f t="shared" si="0"/>
        <v>English written</v>
      </c>
      <c r="D11">
        <f t="shared" si="1"/>
        <v>60</v>
      </c>
      <c r="E11">
        <v>45</v>
      </c>
      <c r="F11" t="str">
        <f t="shared" si="2"/>
        <v>English oral</v>
      </c>
      <c r="G11">
        <f t="shared" si="3"/>
        <v>40</v>
      </c>
      <c r="H11">
        <v>36</v>
      </c>
      <c r="I11" t="str">
        <f t="shared" si="4"/>
        <v>Math written</v>
      </c>
      <c r="J11">
        <f t="shared" si="5"/>
        <v>60</v>
      </c>
      <c r="K11">
        <v>59</v>
      </c>
      <c r="L11" t="str">
        <f t="shared" si="6"/>
        <v>Math oral</v>
      </c>
      <c r="M11">
        <f t="shared" si="7"/>
        <v>40</v>
      </c>
      <c r="N11">
        <v>40</v>
      </c>
      <c r="O11" t="str">
        <f t="shared" si="8"/>
        <v>Hindi oral</v>
      </c>
      <c r="P11">
        <f t="shared" si="9"/>
        <v>40</v>
      </c>
      <c r="Q11">
        <v>30</v>
      </c>
      <c r="R11" t="str">
        <f t="shared" si="10"/>
        <v>Hindi written</v>
      </c>
      <c r="S11">
        <f t="shared" si="11"/>
        <v>60</v>
      </c>
      <c r="T11">
        <v>56</v>
      </c>
      <c r="U11" t="str">
        <f t="shared" si="12"/>
        <v>GA/CON</v>
      </c>
      <c r="V11">
        <f t="shared" si="13"/>
        <v>50</v>
      </c>
      <c r="W11">
        <v>40</v>
      </c>
      <c r="X11" s="4">
        <f t="shared" si="14"/>
        <v>350</v>
      </c>
      <c r="Y11">
        <f t="shared" si="15"/>
        <v>306</v>
      </c>
      <c r="Z11">
        <f t="shared" si="16"/>
        <v>87.428571428571431</v>
      </c>
      <c r="AA11" s="5" t="str" cm="1">
        <f t="array" ref="AA11">_xlfn.IFS(Z11&gt;75, "A", Z11&gt;60, "B", Z11&gt;45, "C", Z11&gt;33, "D", Z11&lt;33, "E")</f>
        <v>A</v>
      </c>
      <c r="AB11" t="str" cm="1">
        <f t="array" ref="AB11">_xlfn.IFS(AA11="A", "Excellent work! Consistently strong effort and achievement.", AA11="B", "Great job! Solid understanding, keep striving for excellence.",AA11="C", "Meets expectations. Focus on improvement with subject skills.", AA11="D", "Needs improvement. Seek extra help and focus to grasp concepts.", AA11="E", "Needs more efforts. Regular attendance and focus needed.")</f>
        <v>Excellent work! Consistently strong effort and achievement.</v>
      </c>
    </row>
    <row r="12" spans="1:28" x14ac:dyDescent="0.3">
      <c r="A12">
        <v>11</v>
      </c>
      <c r="B12" t="s">
        <v>51</v>
      </c>
      <c r="C12" t="str">
        <f t="shared" si="0"/>
        <v>English written</v>
      </c>
      <c r="D12">
        <f t="shared" si="1"/>
        <v>60</v>
      </c>
      <c r="E12">
        <v>30</v>
      </c>
      <c r="F12" t="str">
        <f t="shared" si="2"/>
        <v>English oral</v>
      </c>
      <c r="G12">
        <f t="shared" si="3"/>
        <v>40</v>
      </c>
      <c r="H12">
        <v>12</v>
      </c>
      <c r="I12" t="str">
        <f t="shared" si="4"/>
        <v>Math written</v>
      </c>
      <c r="J12">
        <f t="shared" si="5"/>
        <v>60</v>
      </c>
      <c r="K12">
        <v>24</v>
      </c>
      <c r="L12" t="str">
        <f t="shared" si="6"/>
        <v>Math oral</v>
      </c>
      <c r="M12">
        <f t="shared" si="7"/>
        <v>40</v>
      </c>
      <c r="N12">
        <v>12</v>
      </c>
      <c r="O12" t="str">
        <f t="shared" si="8"/>
        <v>Hindi oral</v>
      </c>
      <c r="P12">
        <f t="shared" si="9"/>
        <v>40</v>
      </c>
      <c r="Q12">
        <v>12</v>
      </c>
      <c r="R12" t="str">
        <f t="shared" si="10"/>
        <v>Hindi written</v>
      </c>
      <c r="S12">
        <f t="shared" si="11"/>
        <v>60</v>
      </c>
      <c r="T12">
        <v>39</v>
      </c>
      <c r="U12" t="str">
        <f t="shared" si="12"/>
        <v>GA/CON</v>
      </c>
      <c r="V12">
        <f t="shared" si="13"/>
        <v>50</v>
      </c>
      <c r="W12">
        <v>8</v>
      </c>
      <c r="X12" s="4">
        <f t="shared" si="14"/>
        <v>350</v>
      </c>
      <c r="Y12">
        <f t="shared" si="15"/>
        <v>137</v>
      </c>
      <c r="Z12">
        <f t="shared" si="16"/>
        <v>39.142857142857139</v>
      </c>
      <c r="AA12" s="5" t="str" cm="1">
        <f t="array" ref="AA12">_xlfn.IFS(Z12&gt;75, "A", Z12&gt;60, "B", Z12&gt;45, "C", Z12&gt;33, "D", Z12&lt;33, "E")</f>
        <v>D</v>
      </c>
      <c r="AB12" t="str" cm="1">
        <f t="array" ref="AB12">_xlfn.IFS(AA12="A", "Excellent work! Consistently strong effort and achievement.", AA12="B", "Great job! Solid understanding, keep striving for excellence.",AA12="C", "Meets expectations. Focus on improvement with subject skills.", AA12="D", "Needs improvement. Seek extra help and focus to grasp concepts.", AA12="E", "Needs more efforts. Regular attendance and focus needed.")</f>
        <v>Needs improvement. Seek extra help and focus to grasp concepts.</v>
      </c>
    </row>
    <row r="13" spans="1:28" x14ac:dyDescent="0.3">
      <c r="A13">
        <v>12</v>
      </c>
      <c r="B13" t="s">
        <v>52</v>
      </c>
      <c r="C13" t="str">
        <f t="shared" si="0"/>
        <v>English written</v>
      </c>
      <c r="D13">
        <f t="shared" si="1"/>
        <v>60</v>
      </c>
      <c r="E13">
        <v>47</v>
      </c>
      <c r="F13" t="str">
        <f t="shared" si="2"/>
        <v>English oral</v>
      </c>
      <c r="G13">
        <f t="shared" si="3"/>
        <v>40</v>
      </c>
      <c r="H13">
        <v>0</v>
      </c>
      <c r="I13" t="str">
        <f t="shared" si="4"/>
        <v>Math written</v>
      </c>
      <c r="J13">
        <f t="shared" si="5"/>
        <v>60</v>
      </c>
      <c r="K13">
        <v>58</v>
      </c>
      <c r="L13" t="str">
        <f t="shared" si="6"/>
        <v>Math oral</v>
      </c>
      <c r="M13">
        <f t="shared" si="7"/>
        <v>40</v>
      </c>
      <c r="N13">
        <v>0</v>
      </c>
      <c r="O13" t="str">
        <f t="shared" si="8"/>
        <v>Hindi oral</v>
      </c>
      <c r="P13">
        <f t="shared" si="9"/>
        <v>40</v>
      </c>
      <c r="Q13">
        <v>0</v>
      </c>
      <c r="R13" t="str">
        <f t="shared" si="10"/>
        <v>Hindi written</v>
      </c>
      <c r="S13">
        <f t="shared" si="11"/>
        <v>60</v>
      </c>
      <c r="T13">
        <v>58</v>
      </c>
      <c r="U13" t="str">
        <f t="shared" si="12"/>
        <v>GA/CON</v>
      </c>
      <c r="V13">
        <f t="shared" si="13"/>
        <v>50</v>
      </c>
      <c r="W13">
        <v>22</v>
      </c>
      <c r="X13" s="4">
        <f t="shared" si="14"/>
        <v>350</v>
      </c>
      <c r="Y13">
        <f t="shared" si="15"/>
        <v>185</v>
      </c>
      <c r="Z13">
        <f t="shared" si="16"/>
        <v>52.857142857142861</v>
      </c>
      <c r="AA13" s="5" t="str" cm="1">
        <f t="array" ref="AA13">_xlfn.IFS(Z13&gt;75, "A", Z13&gt;60, "B", Z13&gt;45, "C", Z13&gt;33, "D", Z13&lt;33, "E")</f>
        <v>C</v>
      </c>
      <c r="AB13" t="str" cm="1">
        <f t="array" ref="AB13">_xlfn.IFS(AA13="A", "Excellent work! Consistently strong effort and achievement.", AA13="B", "Great job! Solid understanding, keep striving for excellence.",AA13="C", "Meets expectations. Focus on improvement with subject skills.", AA13="D", "Needs improvement. Seek extra help and focus to grasp concepts.", AA13="E", "Needs more efforts. Regular attendance and focus needed.")</f>
        <v>Meets expectations. Focus on improvement with subject skills.</v>
      </c>
    </row>
    <row r="14" spans="1:28" x14ac:dyDescent="0.3">
      <c r="A14">
        <v>13</v>
      </c>
      <c r="B14" t="s">
        <v>53</v>
      </c>
      <c r="C14" t="s">
        <v>1</v>
      </c>
      <c r="D14">
        <v>60</v>
      </c>
      <c r="E14">
        <v>34</v>
      </c>
      <c r="F14" t="str">
        <f t="shared" si="2"/>
        <v>English oral</v>
      </c>
      <c r="G14">
        <v>40</v>
      </c>
      <c r="H14">
        <v>0</v>
      </c>
      <c r="I14" t="str">
        <f t="shared" si="4"/>
        <v>Math written</v>
      </c>
      <c r="J14">
        <f t="shared" si="5"/>
        <v>60</v>
      </c>
      <c r="K14">
        <v>58</v>
      </c>
      <c r="L14" t="str">
        <f t="shared" si="6"/>
        <v>Math oral</v>
      </c>
      <c r="M14">
        <f t="shared" si="7"/>
        <v>40</v>
      </c>
      <c r="N14">
        <v>0</v>
      </c>
      <c r="O14" t="str">
        <f>IF(ISBLANK(A14),"","Hindi oral")</f>
        <v>Hindi oral</v>
      </c>
      <c r="P14">
        <f t="shared" si="9"/>
        <v>40</v>
      </c>
      <c r="Q14">
        <v>0</v>
      </c>
      <c r="R14" t="str">
        <f t="shared" si="10"/>
        <v>Hindi written</v>
      </c>
      <c r="S14">
        <f t="shared" si="11"/>
        <v>60</v>
      </c>
      <c r="T14">
        <v>57</v>
      </c>
      <c r="U14" t="str">
        <f t="shared" si="12"/>
        <v>GA/CON</v>
      </c>
      <c r="V14">
        <f t="shared" si="13"/>
        <v>50</v>
      </c>
      <c r="W14">
        <v>0</v>
      </c>
      <c r="X14" s="4">
        <f>D14+G14+J14+M14+P14+S14+V14</f>
        <v>350</v>
      </c>
      <c r="Y14">
        <f t="shared" si="15"/>
        <v>149</v>
      </c>
      <c r="Z14">
        <f>Y14/X14*100</f>
        <v>42.571428571428569</v>
      </c>
      <c r="AA14" s="5" t="str" cm="1">
        <f t="array" ref="AA14">_xlfn.IFS(Z14&gt;75, "A", Z14&gt;60, "B", Z14&gt;45, "C", Z14&gt;33, "D", Z14&lt;33, "E")</f>
        <v>D</v>
      </c>
      <c r="AB14" t="str" cm="1">
        <f t="array" ref="AB14">_xlfn.IFS(AA14="A", "Excellent work! Consistently strong effort and achievement.", AA14="B", "Great job! Solid understanding, keep striving for excellence.",AA14="C", "Meets expectations. Focus on improvement with subject skills.", AA14="D", "Needs improvement. Seek extra help and focus to grasp concepts.", AA14="E", "Needs more efforts. Regular attendance and focus needed.")</f>
        <v>Needs improvement. Seek extra help and focus to grasp concepts.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B0AB-F6F2-4C52-A271-98EA398E0CFC}">
  <sheetPr>
    <tabColor theme="0"/>
  </sheetPr>
  <dimension ref="A1:S12"/>
  <sheetViews>
    <sheetView zoomScaleNormal="100" workbookViewId="0">
      <pane xSplit="2" topLeftCell="L1" activePane="topRight" state="frozen"/>
      <selection pane="topRight" activeCell="P1" sqref="P1"/>
    </sheetView>
  </sheetViews>
  <sheetFormatPr defaultColWidth="9.21875" defaultRowHeight="14.4" x14ac:dyDescent="0.3"/>
  <cols>
    <col min="1" max="1" width="11.6640625" style="2" customWidth="1"/>
    <col min="2" max="2" width="10.77734375" style="2" bestFit="1" customWidth="1"/>
    <col min="3" max="3" width="13.21875" style="2" customWidth="1"/>
    <col min="4" max="4" width="15.44140625" style="2" customWidth="1"/>
    <col min="5" max="5" width="20.5546875" style="2" customWidth="1"/>
    <col min="6" max="6" width="16" style="2" customWidth="1"/>
    <col min="7" max="7" width="13.21875" style="2" customWidth="1"/>
    <col min="8" max="8" width="16.88671875" style="2" customWidth="1"/>
    <col min="9" max="9" width="15" style="2" customWidth="1"/>
    <col min="10" max="10" width="13.21875" style="2" customWidth="1"/>
    <col min="11" max="11" width="16.88671875" style="2" customWidth="1"/>
    <col min="12" max="12" width="14.77734375" style="2" customWidth="1"/>
    <col min="13" max="13" width="13.21875" style="2" customWidth="1"/>
    <col min="14" max="14" width="21.109375" style="2" customWidth="1"/>
    <col min="15" max="15" width="17.33203125" style="2" customWidth="1"/>
    <col min="16" max="18" width="9.21875" style="2" customWidth="1"/>
    <col min="19" max="19" width="53.5546875" style="2" customWidth="1"/>
    <col min="20" max="20" width="62.21875" style="2" customWidth="1"/>
    <col min="21" max="16384" width="9.21875" style="2"/>
  </cols>
  <sheetData>
    <row r="1" spans="1:19" ht="15.75" customHeight="1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64</v>
      </c>
      <c r="G1" s="1" t="s">
        <v>65</v>
      </c>
      <c r="H1" s="1" t="s">
        <v>72</v>
      </c>
      <c r="I1" s="1" t="s">
        <v>69</v>
      </c>
      <c r="J1" s="1" t="s">
        <v>67</v>
      </c>
      <c r="K1" s="1" t="s">
        <v>66</v>
      </c>
      <c r="L1" s="1" t="s">
        <v>70</v>
      </c>
      <c r="M1" s="1" t="s">
        <v>68</v>
      </c>
      <c r="N1" s="1" t="s">
        <v>71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3">
      <c r="A2" s="2">
        <f>ROW(A2)-1</f>
        <v>1</v>
      </c>
      <c r="B2" s="2" t="s">
        <v>54</v>
      </c>
      <c r="C2" s="2" t="str">
        <f>IF(ISBLANK(B2),"","Hindi")</f>
        <v>Hindi</v>
      </c>
      <c r="D2" s="2">
        <f t="shared" ref="D2:D12" si="0">IF(ISBLANK(B2),"",100)</f>
        <v>100</v>
      </c>
      <c r="E2" s="2">
        <v>62</v>
      </c>
      <c r="F2" s="2" t="str">
        <f t="shared" ref="F2:F12" si="1">IF(ISBLANK(B2),"","English")</f>
        <v>English</v>
      </c>
      <c r="G2" s="2">
        <f>IF(ISBLANK(B2),"",100)</f>
        <v>100</v>
      </c>
      <c r="H2" s="2">
        <v>78</v>
      </c>
      <c r="I2" s="2" t="str">
        <f>IF(ISBLANK(B2),"","Math")</f>
        <v>Math</v>
      </c>
      <c r="J2" s="2">
        <f>IF(ISBLANK(B2),"",100)</f>
        <v>100</v>
      </c>
      <c r="K2" s="2">
        <v>66</v>
      </c>
      <c r="L2" s="2" t="str">
        <f>IF(ISBLANK(B2),"","EVS")</f>
        <v>EVS</v>
      </c>
      <c r="M2" s="2">
        <f>IF(ISBLANK(B2),"",100)</f>
        <v>100</v>
      </c>
      <c r="N2" s="2">
        <v>77</v>
      </c>
      <c r="O2" s="2">
        <v>400</v>
      </c>
      <c r="P2" s="2">
        <f>E2+H2+K2+N2</f>
        <v>283</v>
      </c>
      <c r="Q2" s="2">
        <f>P2/O2*100</f>
        <v>70.75</v>
      </c>
      <c r="R2" s="2" t="str" cm="1">
        <f t="array" ref="R2">_xlfn.IFS(Q2&gt;75, "A", Q2&gt;60, "B", Q2&gt;45, "C", Q2&gt;33, "D", Q2&lt;=33, "E")</f>
        <v>B</v>
      </c>
      <c r="S2" s="2" t="str" cm="1">
        <f t="array" ref="S2">_xlfn.IFS(R2="A", "Excellent work! Consistently strong effort and achievement.", R2="B", "Great job! Solid understanding, keep striving for excellence.",R2="C", "Meets expectations. Focus on improvement with subject skills.", R2="D", "Needs improvement. Seek extra help and focus to grasp concepts.", R2="E", "Needs more efforts. Regular attendance and focus needed.")</f>
        <v>Great job! Solid understanding, keep striving for excellence.</v>
      </c>
    </row>
    <row r="3" spans="1:19" x14ac:dyDescent="0.3">
      <c r="A3" s="2">
        <f t="shared" ref="A3:A12" si="2">ROW(A3)-1</f>
        <v>2</v>
      </c>
      <c r="B3" s="2" t="s">
        <v>55</v>
      </c>
      <c r="C3" s="2" t="str">
        <f t="shared" ref="C3:C12" si="3">IF(ISBLANK(B3),"","Hindi")</f>
        <v>Hindi</v>
      </c>
      <c r="D3" s="2">
        <f t="shared" si="0"/>
        <v>100</v>
      </c>
      <c r="E3" s="2">
        <v>54</v>
      </c>
      <c r="F3" s="2" t="str">
        <f t="shared" si="1"/>
        <v>English</v>
      </c>
      <c r="G3" s="2">
        <f t="shared" ref="G3:G11" si="4">IF(ISBLANK(B3),"",100)</f>
        <v>100</v>
      </c>
      <c r="H3" s="2">
        <v>78</v>
      </c>
      <c r="I3" s="2" t="str">
        <f t="shared" ref="I3:I12" si="5">IF(ISBLANK(B3),"","Math")</f>
        <v>Math</v>
      </c>
      <c r="J3" s="2">
        <f t="shared" ref="J3:J12" si="6">IF(ISBLANK(B3),"",100)</f>
        <v>100</v>
      </c>
      <c r="K3" s="2">
        <v>73</v>
      </c>
      <c r="L3" s="2" t="str">
        <f t="shared" ref="L3:L12" si="7">IF(ISBLANK(B3),"","EVS")</f>
        <v>EVS</v>
      </c>
      <c r="M3" s="2">
        <f t="shared" ref="M3:M12" si="8">IF(ISBLANK(B3),"",100)</f>
        <v>100</v>
      </c>
      <c r="N3" s="2">
        <v>95</v>
      </c>
      <c r="O3" s="2">
        <v>400</v>
      </c>
      <c r="P3" s="2">
        <f t="shared" ref="P3:P12" si="9">E3+H3+K3+N3</f>
        <v>300</v>
      </c>
      <c r="Q3" s="2">
        <f t="shared" ref="Q3:Q12" si="10">P3/O3*100</f>
        <v>75</v>
      </c>
      <c r="R3" s="2" t="str" cm="1">
        <f t="array" ref="R3">_xlfn.IFS(Q3&gt;75, "A", Q3&gt;60, "B", Q3&gt;45, "C", Q3&gt;33, "D", Q3&lt;=33, "E")</f>
        <v>B</v>
      </c>
      <c r="S3" s="2" t="str" cm="1">
        <f t="array" ref="S3">_xlfn.IFS(R3="A", "Excellent work! Consistently strong effort and achievement.", R3="B", "Great job! Solid understanding, keep striving for excellence.",R3="C", "Meets expectations. Focus on improvement with subject skills.", R3="D", "Needs improvement. Seek extra help and focus to grasp concepts.", R3="E", "Needs more efforts. Regular attendance and focus needed.")</f>
        <v>Great job! Solid understanding, keep striving for excellence.</v>
      </c>
    </row>
    <row r="4" spans="1:19" x14ac:dyDescent="0.3">
      <c r="A4" s="2">
        <f t="shared" si="2"/>
        <v>3</v>
      </c>
      <c r="B4" s="2" t="s">
        <v>56</v>
      </c>
      <c r="C4" s="2" t="str">
        <f t="shared" si="3"/>
        <v>Hindi</v>
      </c>
      <c r="D4" s="2">
        <f t="shared" si="0"/>
        <v>100</v>
      </c>
      <c r="E4" s="2">
        <v>37</v>
      </c>
      <c r="F4" s="2" t="str">
        <f t="shared" si="1"/>
        <v>English</v>
      </c>
      <c r="G4" s="2">
        <f t="shared" si="4"/>
        <v>100</v>
      </c>
      <c r="H4" s="2">
        <v>67</v>
      </c>
      <c r="I4" s="2" t="str">
        <f t="shared" si="5"/>
        <v>Math</v>
      </c>
      <c r="J4" s="2">
        <f t="shared" si="6"/>
        <v>100</v>
      </c>
      <c r="K4" s="2">
        <v>76</v>
      </c>
      <c r="L4" s="2" t="str">
        <f t="shared" si="7"/>
        <v>EVS</v>
      </c>
      <c r="M4" s="2">
        <f t="shared" si="8"/>
        <v>100</v>
      </c>
      <c r="N4" s="2">
        <v>76</v>
      </c>
      <c r="O4" s="2">
        <v>400</v>
      </c>
      <c r="P4" s="2">
        <f t="shared" si="9"/>
        <v>256</v>
      </c>
      <c r="Q4" s="2">
        <f t="shared" si="10"/>
        <v>64</v>
      </c>
      <c r="R4" s="2" t="str" cm="1">
        <f t="array" ref="R4">_xlfn.IFS(Q4&gt;75, "A", Q4&gt;60, "B", Q4&gt;45, "C", Q4&gt;33, "D", Q4&lt;=33, "E")</f>
        <v>B</v>
      </c>
      <c r="S4" s="2" t="str" cm="1">
        <f t="array" ref="S4">_xlfn.IFS(R4="A", "Excellent work! Consistently strong effort and achievement.", R4="B", "Great job! Solid understanding, keep striving for excellence.",R4="C", "Meets expectations. Focus on improvement with subject skills.", R4="D", "Needs improvement. Seek extra help and focus to grasp concepts.", R4="E", "Needs more efforts. Regular attendance and focus needed.")</f>
        <v>Great job! Solid understanding, keep striving for excellence.</v>
      </c>
    </row>
    <row r="5" spans="1:19" x14ac:dyDescent="0.3">
      <c r="A5" s="2">
        <f t="shared" si="2"/>
        <v>4</v>
      </c>
      <c r="B5" s="2" t="s">
        <v>57</v>
      </c>
      <c r="C5" s="2" t="str">
        <f t="shared" si="3"/>
        <v>Hindi</v>
      </c>
      <c r="D5" s="2">
        <f t="shared" si="0"/>
        <v>100</v>
      </c>
      <c r="E5" s="2">
        <v>50</v>
      </c>
      <c r="F5" s="2" t="str">
        <f t="shared" si="1"/>
        <v>English</v>
      </c>
      <c r="G5" s="2">
        <f t="shared" si="4"/>
        <v>100</v>
      </c>
      <c r="H5" s="2">
        <v>86</v>
      </c>
      <c r="I5" s="2" t="str">
        <f t="shared" si="5"/>
        <v>Math</v>
      </c>
      <c r="J5" s="2">
        <f t="shared" si="6"/>
        <v>100</v>
      </c>
      <c r="K5" s="2">
        <v>54</v>
      </c>
      <c r="L5" s="2" t="str">
        <f t="shared" si="7"/>
        <v>EVS</v>
      </c>
      <c r="M5" s="2">
        <f t="shared" si="8"/>
        <v>100</v>
      </c>
      <c r="N5" s="2">
        <v>70</v>
      </c>
      <c r="O5" s="2">
        <v>400</v>
      </c>
      <c r="P5" s="2">
        <f t="shared" si="9"/>
        <v>260</v>
      </c>
      <c r="Q5" s="2">
        <f t="shared" si="10"/>
        <v>65</v>
      </c>
      <c r="R5" s="2" t="str" cm="1">
        <f t="array" ref="R5">_xlfn.IFS(Q5&gt;75, "A", Q5&gt;60, "B", Q5&gt;45, "C", Q5&gt;33, "D", Q5&lt;=33, "E")</f>
        <v>B</v>
      </c>
      <c r="S5" s="2" t="str" cm="1">
        <f t="array" ref="S5">_xlfn.IFS(R5="A", "Excellent work! Consistently strong effort and achievement.", R5="B", "Great job! Solid understanding, keep striving for excellence.",R5="C", "Meets expectations. Focus on improvement with subject skills.", R5="D", "Needs improvement. Seek extra help and focus to grasp concepts.", R5="E", "Needs more efforts. Regular attendance and focus needed.")</f>
        <v>Great job! Solid understanding, keep striving for excellence.</v>
      </c>
    </row>
    <row r="6" spans="1:19" x14ac:dyDescent="0.3">
      <c r="A6" s="2">
        <f t="shared" si="2"/>
        <v>5</v>
      </c>
      <c r="B6" s="2" t="s">
        <v>58</v>
      </c>
      <c r="C6" s="2" t="str">
        <f t="shared" si="3"/>
        <v>Hindi</v>
      </c>
      <c r="D6" s="2">
        <f t="shared" si="0"/>
        <v>100</v>
      </c>
      <c r="E6" s="2">
        <v>45</v>
      </c>
      <c r="F6" s="2" t="str">
        <f t="shared" si="1"/>
        <v>English</v>
      </c>
      <c r="G6" s="2">
        <f t="shared" si="4"/>
        <v>100</v>
      </c>
      <c r="H6" s="2">
        <v>90</v>
      </c>
      <c r="I6" s="2" t="str">
        <f t="shared" si="5"/>
        <v>Math</v>
      </c>
      <c r="J6" s="2">
        <f t="shared" si="6"/>
        <v>100</v>
      </c>
      <c r="K6" s="2">
        <v>67</v>
      </c>
      <c r="L6" s="2" t="str">
        <f t="shared" si="7"/>
        <v>EVS</v>
      </c>
      <c r="M6" s="2">
        <f t="shared" si="8"/>
        <v>100</v>
      </c>
      <c r="N6" s="2">
        <v>78</v>
      </c>
      <c r="O6" s="2">
        <v>400</v>
      </c>
      <c r="P6" s="2">
        <f t="shared" si="9"/>
        <v>280</v>
      </c>
      <c r="Q6" s="2">
        <f t="shared" si="10"/>
        <v>70</v>
      </c>
      <c r="R6" s="2" t="str" cm="1">
        <f t="array" ref="R6">_xlfn.IFS(Q6&gt;75, "A", Q6&gt;60, "B", Q6&gt;45, "C", Q6&gt;33, "D", Q6&lt;=33, "E")</f>
        <v>B</v>
      </c>
      <c r="S6" s="2" t="str" cm="1">
        <f t="array" ref="S6">_xlfn.IFS(R6="A", "Excellent work! Consistently strong effort and achievement.", R6="B", "Great job! Solid understanding, keep striving for excellence.",R6="C", "Meets expectations. Focus on improvement with subject skills.", R6="D", "Needs improvement. Seek extra help and focus to grasp concepts.", R6="E", "Needs more efforts. Regular attendance and focus needed.")</f>
        <v>Great job! Solid understanding, keep striving for excellence.</v>
      </c>
    </row>
    <row r="7" spans="1:19" x14ac:dyDescent="0.3">
      <c r="A7" s="2">
        <f t="shared" si="2"/>
        <v>6</v>
      </c>
      <c r="B7" s="2" t="s">
        <v>59</v>
      </c>
      <c r="C7" s="2" t="str">
        <f t="shared" si="3"/>
        <v>Hindi</v>
      </c>
      <c r="D7" s="2">
        <f t="shared" si="0"/>
        <v>100</v>
      </c>
      <c r="E7" s="2">
        <v>34</v>
      </c>
      <c r="F7" s="2" t="str">
        <f t="shared" si="1"/>
        <v>English</v>
      </c>
      <c r="G7" s="2">
        <f t="shared" si="4"/>
        <v>100</v>
      </c>
      <c r="H7" s="2">
        <v>61</v>
      </c>
      <c r="I7" s="2" t="str">
        <f t="shared" si="5"/>
        <v>Math</v>
      </c>
      <c r="J7" s="2">
        <f t="shared" si="6"/>
        <v>100</v>
      </c>
      <c r="K7" s="2">
        <v>62</v>
      </c>
      <c r="L7" s="2" t="str">
        <f t="shared" si="7"/>
        <v>EVS</v>
      </c>
      <c r="M7" s="2">
        <f t="shared" si="8"/>
        <v>100</v>
      </c>
      <c r="N7" s="2">
        <v>66</v>
      </c>
      <c r="O7" s="2">
        <v>400</v>
      </c>
      <c r="P7" s="2">
        <f t="shared" si="9"/>
        <v>223</v>
      </c>
      <c r="Q7" s="2">
        <f t="shared" si="10"/>
        <v>55.75</v>
      </c>
      <c r="R7" s="2" t="str" cm="1">
        <f t="array" ref="R7">_xlfn.IFS(Q7&gt;75, "A", Q7&gt;60, "B", Q7&gt;45, "C", Q7&gt;33, "D", Q7&lt;=33, "E")</f>
        <v>C</v>
      </c>
      <c r="S7" s="2" t="str" cm="1">
        <f t="array" ref="S7">_xlfn.IFS(R7="A", "Excellent work! Consistently strong effort and achievement.", R7="B", "Great job! Solid understanding, keep striving for excellence.",R7="C", "Meets expectations. Focus on improvement with subject skills.", R7="D", "Needs improvement. Seek extra help and focus to grasp concepts.", R7="E", "Needs more efforts. Regular attendance and focus needed.")</f>
        <v>Meets expectations. Focus on improvement with subject skills.</v>
      </c>
    </row>
    <row r="8" spans="1:19" x14ac:dyDescent="0.3">
      <c r="A8" s="2">
        <f t="shared" si="2"/>
        <v>7</v>
      </c>
      <c r="B8" s="2" t="s">
        <v>60</v>
      </c>
      <c r="C8" s="2" t="str">
        <f t="shared" si="3"/>
        <v>Hindi</v>
      </c>
      <c r="D8" s="2">
        <f t="shared" si="0"/>
        <v>100</v>
      </c>
      <c r="E8" s="2">
        <v>36</v>
      </c>
      <c r="F8" s="2" t="str">
        <f t="shared" si="1"/>
        <v>English</v>
      </c>
      <c r="G8" s="2">
        <f t="shared" si="4"/>
        <v>100</v>
      </c>
      <c r="H8" s="2">
        <v>72</v>
      </c>
      <c r="I8" s="2" t="str">
        <f t="shared" si="5"/>
        <v>Math</v>
      </c>
      <c r="J8" s="2">
        <f t="shared" si="6"/>
        <v>100</v>
      </c>
      <c r="K8" s="2">
        <v>52</v>
      </c>
      <c r="L8" s="2" t="str">
        <f t="shared" si="7"/>
        <v>EVS</v>
      </c>
      <c r="M8" s="2">
        <f t="shared" si="8"/>
        <v>100</v>
      </c>
      <c r="N8" s="2">
        <v>59</v>
      </c>
      <c r="O8" s="2">
        <v>400</v>
      </c>
      <c r="P8" s="2">
        <f t="shared" si="9"/>
        <v>219</v>
      </c>
      <c r="Q8" s="2">
        <f t="shared" si="10"/>
        <v>54.75</v>
      </c>
      <c r="R8" s="2" t="str" cm="1">
        <f t="array" ref="R8">_xlfn.IFS(Q8&gt;75, "A", Q8&gt;60, "B", Q8&gt;45, "C", Q8&gt;33, "D", Q8&lt;=33, "E")</f>
        <v>C</v>
      </c>
      <c r="S8" s="2" t="str" cm="1">
        <f t="array" ref="S8">_xlfn.IFS(R8="A", "Excellent work! Consistently strong effort and achievement.", R8="B", "Great job! Solid understanding, keep striving for excellence.",R8="C", "Meets expectations. Focus on improvement with subject skills.", R8="D", "Needs improvement. Seek extra help and focus to grasp concepts.", R8="E", "Needs more efforts. Regular attendance and focus needed.")</f>
        <v>Meets expectations. Focus on improvement with subject skills.</v>
      </c>
    </row>
    <row r="9" spans="1:19" x14ac:dyDescent="0.3">
      <c r="A9" s="2">
        <f t="shared" si="2"/>
        <v>8</v>
      </c>
      <c r="B9" s="2" t="s">
        <v>61</v>
      </c>
      <c r="C9" s="2" t="str">
        <f t="shared" si="3"/>
        <v>Hindi</v>
      </c>
      <c r="D9" s="2">
        <f t="shared" si="0"/>
        <v>100</v>
      </c>
      <c r="E9" s="2">
        <v>29</v>
      </c>
      <c r="F9" s="2" t="str">
        <f t="shared" si="1"/>
        <v>English</v>
      </c>
      <c r="G9" s="2">
        <f t="shared" si="4"/>
        <v>100</v>
      </c>
      <c r="H9" s="2">
        <v>68</v>
      </c>
      <c r="I9" s="2" t="str">
        <f t="shared" si="5"/>
        <v>Math</v>
      </c>
      <c r="J9" s="2">
        <f t="shared" si="6"/>
        <v>100</v>
      </c>
      <c r="K9" s="2">
        <v>73</v>
      </c>
      <c r="L9" s="2" t="str">
        <f t="shared" si="7"/>
        <v>EVS</v>
      </c>
      <c r="M9" s="2">
        <f t="shared" si="8"/>
        <v>100</v>
      </c>
      <c r="N9" s="2">
        <v>66</v>
      </c>
      <c r="O9" s="2">
        <v>400</v>
      </c>
      <c r="P9" s="2">
        <f t="shared" si="9"/>
        <v>236</v>
      </c>
      <c r="Q9" s="2">
        <f t="shared" si="10"/>
        <v>59</v>
      </c>
      <c r="R9" s="2" t="str" cm="1">
        <f t="array" ref="R9">_xlfn.IFS(Q9&gt;75, "A", Q9&gt;60, "B", Q9&gt;45, "C", Q9&gt;33, "D", Q9&lt;=33, "E")</f>
        <v>C</v>
      </c>
      <c r="S9" s="2" t="str" cm="1">
        <f t="array" ref="S9">_xlfn.IFS(R9="A", "Excellent work! Consistently strong effort and achievement.", R9="B", "Great job! Solid understanding, keep striving for excellence.",R9="C", "Meets expectations. Focus on improvement with subject skills.", R9="D", "Needs improvement. Seek extra help and focus to grasp concepts.", R9="E", "Needs more efforts. Regular attendance and focus needed.")</f>
        <v>Meets expectations. Focus on improvement with subject skills.</v>
      </c>
    </row>
    <row r="10" spans="1:19" x14ac:dyDescent="0.3">
      <c r="A10" s="2">
        <f t="shared" si="2"/>
        <v>9</v>
      </c>
      <c r="B10" s="2" t="s">
        <v>62</v>
      </c>
      <c r="C10" s="2" t="str">
        <f t="shared" si="3"/>
        <v>Hindi</v>
      </c>
      <c r="D10" s="2">
        <f t="shared" si="0"/>
        <v>100</v>
      </c>
      <c r="E10" s="2">
        <v>52</v>
      </c>
      <c r="F10" s="2" t="str">
        <f t="shared" si="1"/>
        <v>English</v>
      </c>
      <c r="G10" s="2">
        <f t="shared" si="4"/>
        <v>100</v>
      </c>
      <c r="H10" s="2">
        <v>76</v>
      </c>
      <c r="I10" s="2" t="str">
        <f t="shared" si="5"/>
        <v>Math</v>
      </c>
      <c r="J10" s="2">
        <f t="shared" si="6"/>
        <v>100</v>
      </c>
      <c r="K10" s="2">
        <v>57</v>
      </c>
      <c r="L10" s="2" t="str">
        <f t="shared" si="7"/>
        <v>EVS</v>
      </c>
      <c r="M10" s="2">
        <f t="shared" si="8"/>
        <v>100</v>
      </c>
      <c r="N10" s="2">
        <v>79</v>
      </c>
      <c r="O10" s="2">
        <v>400</v>
      </c>
      <c r="P10" s="2">
        <f t="shared" si="9"/>
        <v>264</v>
      </c>
      <c r="Q10" s="2">
        <f t="shared" si="10"/>
        <v>66</v>
      </c>
      <c r="R10" s="2" t="str" cm="1">
        <f t="array" ref="R10">_xlfn.IFS(Q10&gt;75, "A", Q10&gt;60, "B", Q10&gt;45, "C", Q10&gt;33, "D", Q10&lt;=33, "E")</f>
        <v>B</v>
      </c>
      <c r="S10" s="2" t="str" cm="1">
        <f t="array" ref="S10">_xlfn.IFS(R10="A", "Excellent work! Consistently strong effort and achievement.", R10="B", "Great job! Solid understanding, keep striving for excellence.",R10="C", "Meets expectations. Focus on improvement with subject skills.", R10="D", "Needs improvement. Seek extra help and focus to grasp concepts.", R10="E", "Needs more efforts. Regular attendance and focus needed.")</f>
        <v>Great job! Solid understanding, keep striving for excellence.</v>
      </c>
    </row>
    <row r="11" spans="1:19" x14ac:dyDescent="0.3">
      <c r="A11" s="2">
        <f t="shared" si="2"/>
        <v>10</v>
      </c>
      <c r="B11" s="2" t="s">
        <v>25</v>
      </c>
      <c r="C11" s="2" t="str">
        <f t="shared" si="3"/>
        <v>Hindi</v>
      </c>
      <c r="D11" s="2">
        <f t="shared" si="0"/>
        <v>100</v>
      </c>
      <c r="E11" s="2">
        <v>32</v>
      </c>
      <c r="F11" s="2" t="str">
        <f t="shared" si="1"/>
        <v>English</v>
      </c>
      <c r="G11" s="2">
        <f t="shared" si="4"/>
        <v>100</v>
      </c>
      <c r="H11" s="2">
        <v>49</v>
      </c>
      <c r="I11" s="2" t="str">
        <f t="shared" si="5"/>
        <v>Math</v>
      </c>
      <c r="J11" s="2">
        <f t="shared" si="6"/>
        <v>100</v>
      </c>
      <c r="K11" s="2">
        <v>40</v>
      </c>
      <c r="L11" s="2" t="str">
        <f t="shared" si="7"/>
        <v>EVS</v>
      </c>
      <c r="M11" s="2">
        <f t="shared" si="8"/>
        <v>100</v>
      </c>
      <c r="N11" s="2">
        <v>27</v>
      </c>
      <c r="O11" s="2">
        <v>400</v>
      </c>
      <c r="P11" s="2">
        <f t="shared" si="9"/>
        <v>148</v>
      </c>
      <c r="Q11" s="2">
        <f t="shared" si="10"/>
        <v>37</v>
      </c>
      <c r="R11" s="2" t="str" cm="1">
        <f t="array" ref="R11">_xlfn.IFS(Q11&gt;75, "A", Q11&gt;60, "B", Q11&gt;45, "C", Q11&gt;33, "D", Q11&lt;=33, "E")</f>
        <v>D</v>
      </c>
      <c r="S11" s="2" t="str" cm="1">
        <f t="array" ref="S11">_xlfn.IFS(R11="A", "Excellent work! Consistently strong effort and achievement.", R11="B", "Great job! Solid understanding, keep striving for excellence.",R11="C", "Meets expectations. Focus on improvement with subject skills.", R11="D", "Needs improvement. Seek extra help and focus to grasp concepts.", R11="E", "Needs more efforts. Regular attendance and focus needed.")</f>
        <v>Needs improvement. Seek extra help and focus to grasp concepts.</v>
      </c>
    </row>
    <row r="12" spans="1:19" x14ac:dyDescent="0.3">
      <c r="A12" s="2">
        <f t="shared" si="2"/>
        <v>11</v>
      </c>
      <c r="B12" s="2" t="s">
        <v>63</v>
      </c>
      <c r="C12" s="2" t="str">
        <f t="shared" si="3"/>
        <v>Hindi</v>
      </c>
      <c r="D12" s="2">
        <f t="shared" si="0"/>
        <v>100</v>
      </c>
      <c r="E12" s="2">
        <v>27</v>
      </c>
      <c r="F12" s="2" t="str">
        <f t="shared" si="1"/>
        <v>English</v>
      </c>
      <c r="G12" s="2">
        <f>IF(ISBLANK(B12),"",100)</f>
        <v>100</v>
      </c>
      <c r="H12" s="2">
        <v>36</v>
      </c>
      <c r="I12" s="2" t="str">
        <f t="shared" si="5"/>
        <v>Math</v>
      </c>
      <c r="J12" s="2">
        <f t="shared" si="6"/>
        <v>100</v>
      </c>
      <c r="K12" s="2">
        <v>47</v>
      </c>
      <c r="L12" s="2" t="str">
        <f t="shared" si="7"/>
        <v>EVS</v>
      </c>
      <c r="M12" s="2">
        <f t="shared" si="8"/>
        <v>100</v>
      </c>
      <c r="N12" s="2">
        <v>15</v>
      </c>
      <c r="O12" s="2">
        <v>400</v>
      </c>
      <c r="P12" s="2">
        <f t="shared" si="9"/>
        <v>125</v>
      </c>
      <c r="Q12" s="2">
        <f t="shared" si="10"/>
        <v>31.25</v>
      </c>
      <c r="R12" s="2" t="str" cm="1">
        <f t="array" ref="R12">_xlfn.IFS(Q12&gt;75, "A", Q12&gt;60, "B", Q12&gt;45, "C", Q12&gt;33, "D", Q12&lt;=33, "E")</f>
        <v>E</v>
      </c>
      <c r="S12" s="2" t="str" cm="1">
        <f t="array" ref="S12">_xlfn.IFS(R12="A", "Excellent work! Consistently strong effort and achievement.", R12="B", "Great job! Solid understanding, keep striving for excellence.",R12="C", "Meets expectations. Focus on improvement with subject skills.", R12="D", "Needs improvement. Seek extra help and focus to grasp concepts.", R12="E", "Needs more efforts. Regular attendance and focus needed.")</f>
        <v>Needs more efforts. Regular attendance and focus needed.</v>
      </c>
    </row>
  </sheetData>
  <phoneticPr fontId="2" type="noConversion"/>
  <printOptions gridLines="1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E27D-54BD-4D41-8CA9-DB0C551F0DE7}">
  <dimension ref="A1:V6"/>
  <sheetViews>
    <sheetView workbookViewId="0">
      <pane xSplit="2" topLeftCell="R1" activePane="topRight" state="frozen"/>
      <selection pane="topRight" activeCell="V4" sqref="V4"/>
    </sheetView>
  </sheetViews>
  <sheetFormatPr defaultColWidth="9.21875" defaultRowHeight="14.4" x14ac:dyDescent="0.3"/>
  <cols>
    <col min="1" max="1" width="0" style="2" hidden="1" customWidth="1"/>
    <col min="2" max="2" width="11.77734375" style="2" bestFit="1" customWidth="1"/>
    <col min="3" max="4" width="12.21875" style="2" customWidth="1"/>
    <col min="5" max="5" width="15.88671875" style="2" customWidth="1"/>
    <col min="6" max="6" width="11.77734375" style="2" customWidth="1"/>
    <col min="7" max="7" width="13.21875" style="2" customWidth="1"/>
    <col min="8" max="8" width="16.88671875" style="2" customWidth="1"/>
    <col min="9" max="9" width="10.109375" style="2" customWidth="1"/>
    <col min="10" max="10" width="13.21875" style="2" customWidth="1"/>
    <col min="11" max="11" width="16.88671875" style="2" customWidth="1"/>
    <col min="12" max="12" width="11.21875" style="2" customWidth="1"/>
    <col min="13" max="13" width="14.21875" style="2" customWidth="1"/>
    <col min="14" max="14" width="17.88671875" style="2" customWidth="1"/>
    <col min="15" max="15" width="11.21875" style="2" customWidth="1"/>
    <col min="16" max="16" width="14.21875" style="2" customWidth="1"/>
    <col min="17" max="17" width="17.88671875" style="2" customWidth="1"/>
    <col min="18" max="18" width="14.44140625" style="2" customWidth="1"/>
    <col min="19" max="19" width="9.21875" style="2" customWidth="1"/>
    <col min="20" max="20" width="12" style="2" bestFit="1" customWidth="1"/>
    <col min="21" max="21" width="9.21875" style="2"/>
    <col min="22" max="22" width="60" style="2" bestFit="1" customWidth="1"/>
    <col min="23" max="16384" width="9.21875" style="2"/>
  </cols>
  <sheetData>
    <row r="1" spans="1:22" ht="18" customHeight="1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64</v>
      </c>
      <c r="G1" s="1" t="s">
        <v>65</v>
      </c>
      <c r="H1" s="1" t="s">
        <v>66</v>
      </c>
      <c r="I1" s="1" t="s">
        <v>74</v>
      </c>
      <c r="J1" s="1" t="s">
        <v>67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3" t="s">
        <v>20</v>
      </c>
      <c r="S1" s="3" t="s">
        <v>14</v>
      </c>
      <c r="T1" s="3" t="s">
        <v>15</v>
      </c>
      <c r="U1" s="1" t="s">
        <v>16</v>
      </c>
      <c r="V1" s="1" t="s">
        <v>17</v>
      </c>
    </row>
    <row r="2" spans="1:22" x14ac:dyDescent="0.3">
      <c r="A2" s="2">
        <v>1</v>
      </c>
      <c r="B2" s="2" t="s">
        <v>82</v>
      </c>
      <c r="C2" s="2" t="str">
        <f>IF(ISBLANK(B2),"","Hindi")</f>
        <v>Hindi</v>
      </c>
      <c r="D2" s="2">
        <f>IF(ISBLANK(B2),"",100)</f>
        <v>100</v>
      </c>
      <c r="E2" s="2">
        <v>32</v>
      </c>
      <c r="F2" s="2" t="str">
        <f>IF(ISBLANK(B2),"","Math")</f>
        <v>Math</v>
      </c>
      <c r="G2" s="2">
        <f>IF(ISBLANK(B2),"",100)</f>
        <v>100</v>
      </c>
      <c r="H2" s="2">
        <v>35</v>
      </c>
      <c r="I2" s="2" t="str">
        <f>IF(ISBLANK(B2),"","English")</f>
        <v>English</v>
      </c>
      <c r="J2" s="2">
        <f>IF(ISBLANK(B2),"",100)</f>
        <v>100</v>
      </c>
      <c r="K2" s="2">
        <v>51</v>
      </c>
      <c r="L2" s="2" t="str">
        <f>IF(ISBLANK(B2),"","EVS")</f>
        <v>EVS</v>
      </c>
      <c r="M2" s="2">
        <f>IF(ISBLANK(B2),"",100)</f>
        <v>100</v>
      </c>
      <c r="N2" s="2">
        <v>24</v>
      </c>
      <c r="O2" s="2" t="str">
        <f>IF(ISBLANK(B2),"","Computer")</f>
        <v>Computer</v>
      </c>
      <c r="P2" s="2">
        <f>IF(ISBLANK(B2),"",50)</f>
        <v>50</v>
      </c>
      <c r="Q2" s="2">
        <v>15</v>
      </c>
      <c r="R2" s="2">
        <f>IF(ISBLANK(B2),"",450)</f>
        <v>450</v>
      </c>
      <c r="S2" s="2">
        <f>E2+H2+K2+Q2+N2</f>
        <v>157</v>
      </c>
      <c r="T2" s="2">
        <f>S2/R2*100</f>
        <v>34.888888888888893</v>
      </c>
      <c r="U2" s="2" t="str" cm="1">
        <f t="array" ref="U2">_xlfn.IFS(T2&gt;75, "A", T2&gt;60, "B", T2&gt;45, "C", T2&gt;33, "D", T2&lt;33, "E")</f>
        <v>D</v>
      </c>
      <c r="V2" s="2" t="str" cm="1">
        <f t="array" ref="V2">_xlfn.IFS(U2="A", "Excellent work! Consistently strong effort and achievement.", U2="B", "Great job! Solid understanding, keep striving for excellence.",U2="C", "Meets expectations. Focus on improvement with subject skills.", U2="D", "Needs improvement. Seek extra help and focus to grasp concepts.", U2="E", "Needs more efforts. Regular attendance and focus needed.")</f>
        <v>Needs improvement. Seek extra help and focus to grasp concepts.</v>
      </c>
    </row>
    <row r="3" spans="1:22" x14ac:dyDescent="0.3">
      <c r="A3" s="2">
        <v>2</v>
      </c>
      <c r="B3" s="2" t="s">
        <v>21</v>
      </c>
      <c r="C3" s="2" t="str">
        <f>IF(ISBLANK(B3),"","Hindi")</f>
        <v>Hindi</v>
      </c>
      <c r="D3" s="2">
        <f>IF(ISBLANK(B3),"",100)</f>
        <v>100</v>
      </c>
      <c r="E3" s="2">
        <v>23</v>
      </c>
      <c r="F3" s="2" t="str">
        <f>IF(ISBLANK(B3),"","Math")</f>
        <v>Math</v>
      </c>
      <c r="G3" s="2">
        <f>IF(ISBLANK(B3),"",100)</f>
        <v>100</v>
      </c>
      <c r="H3" s="2">
        <v>48</v>
      </c>
      <c r="I3" s="2" t="str">
        <f>IF(ISBLANK(B3),"","English")</f>
        <v>English</v>
      </c>
      <c r="J3" s="2">
        <v>100</v>
      </c>
      <c r="K3" s="2">
        <v>59</v>
      </c>
      <c r="L3" s="2" t="str">
        <f>IF(ISBLANK(B3),"","EVS")</f>
        <v>EVS</v>
      </c>
      <c r="M3" s="2">
        <v>100</v>
      </c>
      <c r="N3" s="2">
        <v>23</v>
      </c>
      <c r="O3" s="2" t="str">
        <f>IF(ISBLANK(B3),"","Computer")</f>
        <v>Computer</v>
      </c>
      <c r="P3" s="2">
        <f>IF(ISBLANK(B3),"",50)</f>
        <v>50</v>
      </c>
      <c r="Q3" s="2">
        <v>12</v>
      </c>
      <c r="R3" s="2">
        <f>IF(ISBLANK(B3),"",450)</f>
        <v>450</v>
      </c>
      <c r="S3" s="2">
        <f>E3+H3+K3+Q3+N3</f>
        <v>165</v>
      </c>
      <c r="T3" s="2">
        <f>S3/R3*100</f>
        <v>36.666666666666664</v>
      </c>
      <c r="U3" s="2" t="str" cm="1">
        <f t="array" ref="U3">_xlfn.IFS(T3&gt;75, "A", T3&gt;60, "B", T3&gt;45, "C", T3&gt;33, "D", T3&lt;33, "E")</f>
        <v>D</v>
      </c>
      <c r="V3" s="2" t="str" cm="1">
        <f t="array" ref="V3">_xlfn.IFS(U3="A", "Excellent work! Consistently strong effort and achievement.", U3="B", "Great job! Solid understanding, keep striving for excellence.",U3="C", "Meets expectations. Focus on improvement with subject skills.", U3="D", "Needs improvement. Seek extra help and focus to grasp concepts.", U3="E", "Needs more efforts. Regular attendance and focus needed.")</f>
        <v>Needs improvement. Seek extra help and focus to grasp concepts.</v>
      </c>
    </row>
    <row r="4" spans="1:22" x14ac:dyDescent="0.3">
      <c r="A4" s="2">
        <v>3</v>
      </c>
      <c r="B4" s="2" t="s">
        <v>83</v>
      </c>
      <c r="C4" s="2" t="str">
        <f>IF(ISBLANK(B4),"","Hindi")</f>
        <v>Hindi</v>
      </c>
      <c r="D4" s="2">
        <f>IF(ISBLANK(B4),"",100)</f>
        <v>100</v>
      </c>
      <c r="E4" s="2">
        <v>64</v>
      </c>
      <c r="F4" s="2" t="str">
        <f>IF(ISBLANK(B4),"","Math")</f>
        <v>Math</v>
      </c>
      <c r="G4" s="2">
        <f>IF(ISBLANK(B4),"",100)</f>
        <v>100</v>
      </c>
      <c r="H4" s="2">
        <v>84</v>
      </c>
      <c r="I4" s="2" t="str">
        <f>IF(ISBLANK(B4),"","English")</f>
        <v>English</v>
      </c>
      <c r="J4" s="2">
        <v>100</v>
      </c>
      <c r="K4" s="2">
        <v>86</v>
      </c>
      <c r="L4" s="2" t="str">
        <f>IF(ISBLANK(B4),"","EVS")</f>
        <v>EVS</v>
      </c>
      <c r="M4" s="2">
        <v>100</v>
      </c>
      <c r="N4" s="2">
        <v>89</v>
      </c>
      <c r="O4" s="2" t="str">
        <f>IF(ISBLANK(B4),"","Computer")</f>
        <v>Computer</v>
      </c>
      <c r="P4" s="2">
        <f>IF(ISBLANK(B4),"",50)</f>
        <v>50</v>
      </c>
      <c r="Q4" s="2">
        <v>35</v>
      </c>
      <c r="R4" s="2">
        <f>IF(ISBLANK(B4),"",450)</f>
        <v>450</v>
      </c>
      <c r="S4" s="2">
        <f>E4+H4+K4+Q4+N4</f>
        <v>358</v>
      </c>
      <c r="T4" s="2">
        <f>S4/R4*100</f>
        <v>79.555555555555557</v>
      </c>
      <c r="U4" s="2" t="str" cm="1">
        <f t="array" ref="U4">_xlfn.IFS(T4&gt;75, "A", T4&gt;60, "B", T4&gt;45, "C", T4&gt;33, "D", T4&lt;33, "E")</f>
        <v>A</v>
      </c>
      <c r="V4" s="2" t="str" cm="1">
        <f t="array" ref="V4">_xlfn.IFS(U4="A", "Excellent work! Consistently strong effort and achievement.", U4="B", "Great job! Solid understanding, keep striving for excellence.",U4="C", "Meets expectations. Focus on improvement with subject skills.", U4="D", "Needs improvement. Seek extra help and focus to grasp concepts.", U4="E", "Needs more efforts. Regular attendance and focus needed.")</f>
        <v>Excellent work! Consistently strong effort and achievement.</v>
      </c>
    </row>
    <row r="5" spans="1:22" x14ac:dyDescent="0.3">
      <c r="A5" s="2">
        <v>4</v>
      </c>
    </row>
    <row r="6" spans="1:22" x14ac:dyDescent="0.3">
      <c r="A6" s="2"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861E-E50A-4B0B-9F24-A91D5CD0C130}">
  <dimension ref="A1:V11"/>
  <sheetViews>
    <sheetView workbookViewId="0">
      <pane xSplit="2" topLeftCell="R1" activePane="topRight" state="frozen"/>
      <selection pane="topRight" activeCell="V2" sqref="V2"/>
    </sheetView>
  </sheetViews>
  <sheetFormatPr defaultColWidth="9.21875" defaultRowHeight="14.4" x14ac:dyDescent="0.3"/>
  <cols>
    <col min="1" max="1" width="5.6640625" style="2" customWidth="1"/>
    <col min="2" max="2" width="13.5546875" style="2" customWidth="1"/>
    <col min="3" max="4" width="12.21875" style="2" customWidth="1"/>
    <col min="5" max="5" width="15.88671875" style="2" customWidth="1"/>
    <col min="6" max="6" width="11.77734375" style="2" customWidth="1"/>
    <col min="7" max="7" width="13.21875" style="2" customWidth="1"/>
    <col min="8" max="8" width="16.88671875" style="2" customWidth="1"/>
    <col min="9" max="9" width="10.109375" style="2" customWidth="1"/>
    <col min="10" max="10" width="13.21875" style="2" customWidth="1"/>
    <col min="11" max="11" width="16.88671875" style="2" customWidth="1"/>
    <col min="12" max="12" width="11.21875" style="2" customWidth="1"/>
    <col min="13" max="13" width="14.21875" style="2" customWidth="1"/>
    <col min="14" max="14" width="17.88671875" style="2" customWidth="1"/>
    <col min="15" max="15" width="11.21875" style="2" customWidth="1"/>
    <col min="16" max="16" width="14.21875" style="2" customWidth="1"/>
    <col min="17" max="17" width="17.88671875" style="2" customWidth="1"/>
    <col min="18" max="18" width="14.44140625" style="2" customWidth="1"/>
    <col min="19" max="19" width="9.21875" style="2" customWidth="1"/>
    <col min="20" max="20" width="12" style="2" bestFit="1" customWidth="1"/>
    <col min="21" max="21" width="9.21875" style="2"/>
    <col min="22" max="22" width="60" style="2" bestFit="1" customWidth="1"/>
    <col min="23" max="16384" width="9.21875" style="2"/>
  </cols>
  <sheetData>
    <row r="1" spans="1:22" ht="18" customHeight="1" x14ac:dyDescent="0.3">
      <c r="A1" s="1" t="s">
        <v>0</v>
      </c>
      <c r="B1" s="2" t="s">
        <v>90</v>
      </c>
      <c r="C1" s="1" t="s">
        <v>10</v>
      </c>
      <c r="D1" s="1" t="s">
        <v>11</v>
      </c>
      <c r="E1" s="1" t="s">
        <v>12</v>
      </c>
      <c r="F1" s="1" t="s">
        <v>64</v>
      </c>
      <c r="G1" s="1" t="s">
        <v>65</v>
      </c>
      <c r="H1" s="1" t="s">
        <v>66</v>
      </c>
      <c r="I1" s="1" t="s">
        <v>74</v>
      </c>
      <c r="J1" s="1" t="s">
        <v>67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3" t="s">
        <v>20</v>
      </c>
      <c r="S1" s="3" t="s">
        <v>14</v>
      </c>
      <c r="T1" s="3" t="s">
        <v>15</v>
      </c>
      <c r="U1" s="1" t="s">
        <v>16</v>
      </c>
      <c r="V1" s="1" t="s">
        <v>17</v>
      </c>
    </row>
    <row r="2" spans="1:22" x14ac:dyDescent="0.3">
      <c r="A2" s="2">
        <f>ROW(A2)-1</f>
        <v>1</v>
      </c>
      <c r="B2" s="2" t="s">
        <v>89</v>
      </c>
      <c r="C2" s="2" t="str">
        <f>IF(ISBLANK(B2),"","Hindi")</f>
        <v>Hindi</v>
      </c>
      <c r="D2" s="2">
        <f>IF(ISBLANK(B2),"",100)</f>
        <v>100</v>
      </c>
      <c r="E2" s="2">
        <v>85</v>
      </c>
      <c r="F2" s="2" t="str">
        <f>IF(ISBLANK(B2),"","Math")</f>
        <v>Math</v>
      </c>
      <c r="G2" s="2">
        <f>IF(ISBLANK(B2),"",100)</f>
        <v>100</v>
      </c>
      <c r="H2" s="2">
        <v>56</v>
      </c>
      <c r="I2" s="2" t="str">
        <f>IF(ISBLANK(B2),"","English")</f>
        <v>English</v>
      </c>
      <c r="J2" s="2">
        <f>IF(ISBLANK(B2),"",100)</f>
        <v>100</v>
      </c>
      <c r="K2" s="2">
        <v>57</v>
      </c>
      <c r="L2" s="2" t="str">
        <f>IF(ISBLANK(B2),"","EVS")</f>
        <v>EVS</v>
      </c>
      <c r="M2" s="2">
        <v>100</v>
      </c>
      <c r="N2" s="2">
        <v>41</v>
      </c>
      <c r="O2" s="2" t="str">
        <f>IF(ISBLANK(B2),"","Computer")</f>
        <v>Computer</v>
      </c>
      <c r="P2" s="2">
        <f>IF(ISBLANK(B2),"",50)</f>
        <v>50</v>
      </c>
      <c r="Q2" s="2">
        <v>35</v>
      </c>
      <c r="R2" s="2">
        <v>450</v>
      </c>
      <c r="S2" s="2">
        <f>E2+H2+K2+Q2+N2</f>
        <v>274</v>
      </c>
      <c r="T2" s="2">
        <f>S2/R2*100</f>
        <v>60.888888888888893</v>
      </c>
      <c r="U2" s="2" t="str" cm="1">
        <f t="array" ref="U2">_xlfn.IFS(T2&gt;75, "A", T2&gt;60, "B", T2&gt;45, "C", T2&gt;33, "D", T2&lt;33, "E")</f>
        <v>B</v>
      </c>
      <c r="V2" s="2" t="s">
        <v>92</v>
      </c>
    </row>
    <row r="3" spans="1:22" x14ac:dyDescent="0.3">
      <c r="A3" s="2">
        <v>2</v>
      </c>
      <c r="B3" s="2" t="s">
        <v>87</v>
      </c>
      <c r="C3" s="2" t="str">
        <f>IF(ISBLANK(B3),"","Hindi")</f>
        <v>Hindi</v>
      </c>
      <c r="D3" s="2">
        <f>IF(ISBLANK(B3),"",100)</f>
        <v>100</v>
      </c>
      <c r="E3" s="2">
        <v>43</v>
      </c>
      <c r="F3" s="2" t="str">
        <f>IF(ISBLANK(B3),"","Math")</f>
        <v>Math</v>
      </c>
      <c r="G3" s="2">
        <f>IF(ISBLANK(B3),"",100)</f>
        <v>100</v>
      </c>
      <c r="H3" s="2">
        <v>34</v>
      </c>
      <c r="I3" s="2" t="str">
        <f>IF(ISBLANK(B3),"","English")</f>
        <v>English</v>
      </c>
      <c r="J3" s="2">
        <f>IF(ISBLANK(B3),"",100)</f>
        <v>100</v>
      </c>
      <c r="K3" s="2">
        <v>51</v>
      </c>
      <c r="L3" s="2" t="str">
        <f>IF(ISBLANK(B3),"","EVS")</f>
        <v>EVS</v>
      </c>
      <c r="M3" s="2">
        <v>100</v>
      </c>
      <c r="N3" s="2">
        <v>22</v>
      </c>
      <c r="O3" s="2" t="s">
        <v>73</v>
      </c>
      <c r="P3" s="2">
        <v>50</v>
      </c>
      <c r="Q3" s="2">
        <v>15</v>
      </c>
      <c r="R3" s="2">
        <v>450</v>
      </c>
      <c r="S3" s="2">
        <f>E3+H3+K3+Q3+N3</f>
        <v>165</v>
      </c>
      <c r="T3" s="2">
        <f>S3/R3*100</f>
        <v>36.666666666666664</v>
      </c>
      <c r="U3" s="2" t="str" cm="1">
        <f t="array" ref="U3">_xlfn.IFS(T3&gt;75, "A", T3&gt;60, "B", T3&gt;45, "C", T3&gt;33, "D", T3&lt;33, "E")</f>
        <v>D</v>
      </c>
      <c r="V3" s="2" t="str" cm="1">
        <f t="array" ref="V3">_xlfn.IFS(U3="A", "Excellent work! Consistently strong effort and achievement.", U3="B", "Great job! Solid understanding, keep striving for excellence.",U3="C", "Meets expectations. Focus on improvement with subject skills.", U3="D", "Needs improvement. Seek extra help and focus to grasp concepts.", U3="E", "Needs more efforts. Regular attendance and focus needed.")</f>
        <v>Needs improvement. Seek extra help and focus to grasp concepts.</v>
      </c>
    </row>
    <row r="4" spans="1:22" x14ac:dyDescent="0.3">
      <c r="A4" s="2">
        <v>3</v>
      </c>
      <c r="B4" s="2" t="s">
        <v>91</v>
      </c>
      <c r="C4" s="2" t="str">
        <f>IF(ISBLANK(B4),"","Hindi")</f>
        <v>Hindi</v>
      </c>
      <c r="D4" s="2">
        <f>IF(ISBLANK(B4),"",100)</f>
        <v>100</v>
      </c>
      <c r="E4" s="2">
        <v>51</v>
      </c>
      <c r="F4" s="2" t="str">
        <f>IF(ISBLANK(B4),"","Math")</f>
        <v>Math</v>
      </c>
      <c r="G4" s="2">
        <f>IF(ISBLANK(B4),"",100)</f>
        <v>100</v>
      </c>
      <c r="H4" s="2">
        <v>19</v>
      </c>
      <c r="I4" s="2" t="str">
        <f>IF(ISBLANK(B4),"","English")</f>
        <v>English</v>
      </c>
      <c r="J4" s="2">
        <f>IF(ISBLANK(B4),"",100)</f>
        <v>100</v>
      </c>
      <c r="K4" s="2">
        <v>17</v>
      </c>
      <c r="L4" s="2" t="str">
        <f>IF(ISBLANK(B4),"","EVS")</f>
        <v>EVS</v>
      </c>
      <c r="M4" s="2">
        <v>100</v>
      </c>
      <c r="N4" s="2">
        <v>16</v>
      </c>
      <c r="O4" s="2" t="s">
        <v>73</v>
      </c>
      <c r="P4" s="2">
        <v>50</v>
      </c>
      <c r="Q4" s="2">
        <v>10</v>
      </c>
      <c r="R4" s="2">
        <v>450</v>
      </c>
      <c r="S4" s="2">
        <f>E4+H4+K4+Q4+N4</f>
        <v>113</v>
      </c>
      <c r="T4" s="2">
        <f>S4/R4*100</f>
        <v>25.111111111111111</v>
      </c>
      <c r="U4" s="2" t="str" cm="1">
        <f t="array" ref="U4">_xlfn.IFS(T4&gt;75, "A", T4&gt;60, "B", T4&gt;45, "C", T4&gt;33, "D", T4&lt;33, "E")</f>
        <v>E</v>
      </c>
      <c r="V4" s="2" t="str" cm="1">
        <f t="array" ref="V4">_xlfn.IFS(U4="A", "Excellent work! Consistently strong effort and achievement.", U4="B", "Great job! Solid understanding, keep striving for excellence.",U4="C", "Meets expectations. Focus on improvement with subject skills.", U4="D", "Needs improvement. Seek extra help and focus to grasp concepts.", U4="E", "Needs more efforts. Regular attendance and focus needed.")</f>
        <v>Needs more efforts. Regular attendance and focus needed.</v>
      </c>
    </row>
    <row r="5" spans="1:22" x14ac:dyDescent="0.3">
      <c r="A5" s="2">
        <v>4</v>
      </c>
      <c r="B5" s="2" t="s">
        <v>88</v>
      </c>
      <c r="C5" s="2" t="str">
        <f>IF(ISBLANK(B5),"","Hindi")</f>
        <v>Hindi</v>
      </c>
      <c r="D5" s="2">
        <f>IF(ISBLANK(B5),"",100)</f>
        <v>100</v>
      </c>
      <c r="E5" s="2">
        <v>53</v>
      </c>
      <c r="F5" s="2" t="str">
        <f>IF(ISBLANK(B5),"","Math")</f>
        <v>Math</v>
      </c>
      <c r="G5" s="2">
        <f>IF(ISBLANK(B5),"",100)</f>
        <v>100</v>
      </c>
      <c r="H5" s="2">
        <v>30</v>
      </c>
      <c r="I5" s="2" t="str">
        <f>IF(ISBLANK(B5),"","English")</f>
        <v>English</v>
      </c>
      <c r="J5" s="2">
        <f>IF(ISBLANK(B5),"",100)</f>
        <v>100</v>
      </c>
      <c r="K5" s="2">
        <v>40</v>
      </c>
      <c r="L5" s="2" t="str">
        <f>IF(ISBLANK(B5),"","EVS")</f>
        <v>EVS</v>
      </c>
      <c r="M5" s="2">
        <v>100</v>
      </c>
      <c r="N5" s="2">
        <v>24</v>
      </c>
      <c r="O5" s="2" t="s">
        <v>73</v>
      </c>
      <c r="P5" s="2">
        <v>50</v>
      </c>
      <c r="Q5" s="2">
        <v>25</v>
      </c>
      <c r="R5" s="2">
        <v>450</v>
      </c>
      <c r="S5" s="2">
        <f>E5+H5+K5+Q5+N5</f>
        <v>172</v>
      </c>
      <c r="T5" s="2">
        <f>S5/R5*100</f>
        <v>38.222222222222221</v>
      </c>
      <c r="U5" s="2" t="str" cm="1">
        <f t="array" ref="U5">_xlfn.IFS(T5&gt;75, "A", T5&gt;60, "B", T5&gt;45, "C", T5&gt;33, "D", T5&lt;33, "E")</f>
        <v>D</v>
      </c>
      <c r="V5" s="2" t="str" cm="1">
        <f t="array" ref="V5">_xlfn.IFS(U5="A", "Excellent work! Consistently strong effort and achievement.", U5="B", "Great job! Solid understanding, keep striving for excellence.",U5="C", "Meets expectations. Focus on improvement with subject skills.", U5="D", "Needs improvement. Seek extra help and focus to grasp concepts.", U5="E", "Needs more efforts. Regular attendance and focus needed.")</f>
        <v>Needs improvement. Seek extra help and focus to grasp concepts.</v>
      </c>
    </row>
    <row r="6" spans="1:22" x14ac:dyDescent="0.3">
      <c r="C6" s="2" t="str">
        <f>IF(ISBLANK(B6),"","Hindi")</f>
        <v/>
      </c>
      <c r="D6" s="2" t="str">
        <f>IF(ISBLANK(B6),"",100)</f>
        <v/>
      </c>
      <c r="F6" s="2" t="str">
        <f>IF(ISBLANK(B6),"","Math")</f>
        <v/>
      </c>
      <c r="G6" s="2" t="str">
        <f>IF(ISBLANK(B6),"",100)</f>
        <v/>
      </c>
      <c r="I6" s="2" t="str">
        <f>IF(ISBLANK(B6),"","English")</f>
        <v/>
      </c>
      <c r="J6" s="2" t="str">
        <f>IF(ISBLANK(B6),"",100)</f>
        <v/>
      </c>
      <c r="L6" s="2" t="str">
        <f>IF(ISBLANK(B6),"","EVS")</f>
        <v/>
      </c>
      <c r="M6" s="2" t="str">
        <f>IF(ISBLANK(B6),"",100)</f>
        <v/>
      </c>
      <c r="O6" s="2" t="str">
        <f>IF(ISBLANK(B6),"","Computer")</f>
        <v/>
      </c>
      <c r="P6" s="2" t="str">
        <f>IF(ISBLANK(B6),"",50)</f>
        <v/>
      </c>
      <c r="R6" s="2" t="str">
        <f>IF(ISBLANK(B6),"","450")</f>
        <v/>
      </c>
    </row>
    <row r="7" spans="1:22" x14ac:dyDescent="0.3">
      <c r="C7" s="2" t="str">
        <f>IF(ISBLANK(B9),"","Hindi")</f>
        <v/>
      </c>
      <c r="D7" s="2" t="str">
        <f>IF(ISBLANK(B9),"",100)</f>
        <v/>
      </c>
      <c r="F7" s="2" t="str">
        <f>IF(ISBLANK(B9),"","Math")</f>
        <v/>
      </c>
      <c r="G7" s="2" t="str">
        <f>IF(ISBLANK(B9),"",100)</f>
        <v/>
      </c>
      <c r="I7" s="2" t="str">
        <f>IF(ISBLANK(B9),"","English")</f>
        <v/>
      </c>
      <c r="J7" s="2" t="str">
        <f>IF(ISBLANK(B9),"",100)</f>
        <v/>
      </c>
      <c r="L7" s="2" t="str">
        <f>IF(ISBLANK(B9),"","EVS")</f>
        <v/>
      </c>
      <c r="M7" s="2" t="str">
        <f>IF(ISBLANK(B9),"",100)</f>
        <v/>
      </c>
      <c r="O7" s="2" t="str">
        <f>IF(ISBLANK(B9),"","Computer")</f>
        <v/>
      </c>
      <c r="P7" s="2" t="str">
        <f>IF(ISBLANK(B9),"",50)</f>
        <v/>
      </c>
    </row>
    <row r="8" spans="1:22" x14ac:dyDescent="0.3">
      <c r="C8" s="2" t="str">
        <f>IF(ISBLANK(B10),"","Hindi")</f>
        <v/>
      </c>
      <c r="D8" s="2" t="str">
        <f>IF(ISBLANK(B10),"",100)</f>
        <v/>
      </c>
      <c r="F8" s="2" t="str">
        <f>IF(ISBLANK(B10),"","Math")</f>
        <v/>
      </c>
      <c r="G8" s="2" t="str">
        <f>IF(ISBLANK(B10),"",100)</f>
        <v/>
      </c>
      <c r="I8" s="2" t="str">
        <f>IF(ISBLANK(B10),"","English")</f>
        <v/>
      </c>
      <c r="J8" s="2" t="str">
        <f>IF(ISBLANK(B10),"",100)</f>
        <v/>
      </c>
      <c r="L8" s="2" t="str">
        <f>IF(ISBLANK(B10),"","EVS")</f>
        <v/>
      </c>
      <c r="M8" s="2" t="str">
        <f>IF(ISBLANK(B10),"",100)</f>
        <v/>
      </c>
      <c r="O8" s="2" t="str">
        <f>IF(ISBLANK(B10),"","Computer")</f>
        <v/>
      </c>
      <c r="P8" s="2" t="str">
        <f>IF(ISBLANK(B10),"",50)</f>
        <v/>
      </c>
    </row>
    <row r="9" spans="1:22" x14ac:dyDescent="0.3">
      <c r="C9" s="2" t="str">
        <f>IF(ISBLANK(B11),"","Hindi")</f>
        <v/>
      </c>
      <c r="D9" s="2" t="str">
        <f>IF(ISBLANK(B11),"",100)</f>
        <v/>
      </c>
      <c r="F9" s="2" t="str">
        <f>IF(ISBLANK(B11),"","Math")</f>
        <v/>
      </c>
      <c r="G9" s="2" t="str">
        <f>IF(ISBLANK(B11),"",100)</f>
        <v/>
      </c>
      <c r="I9" s="2" t="str">
        <f>IF(ISBLANK(B11),"","English")</f>
        <v/>
      </c>
      <c r="J9" s="2" t="str">
        <f>IF(ISBLANK(B11),"",100)</f>
        <v/>
      </c>
      <c r="L9" s="2" t="str">
        <f>IF(ISBLANK(B11),"","EVS")</f>
        <v/>
      </c>
      <c r="M9" s="2" t="str">
        <f>IF(ISBLANK(B11),"",100)</f>
        <v/>
      </c>
      <c r="O9" s="2" t="str">
        <f>IF(ISBLANK(B11),"","Computer")</f>
        <v/>
      </c>
      <c r="P9" s="2" t="str">
        <f>IF(ISBLANK(B11),"",50)</f>
        <v/>
      </c>
    </row>
    <row r="10" spans="1:22" x14ac:dyDescent="0.3">
      <c r="I10" s="2" t="str">
        <f>IF(ISBLANK(B12),"","English")</f>
        <v/>
      </c>
      <c r="L10" s="2" t="str">
        <f>IF(ISBLANK(B12),"","EVS")</f>
        <v/>
      </c>
    </row>
    <row r="11" spans="1:22" x14ac:dyDescent="0.3">
      <c r="I11" s="2" t="str">
        <f>IF(ISBLANK(B13),"","English")</f>
        <v/>
      </c>
      <c r="L11" s="2" t="str">
        <f>IF(ISBLANK(B13),"","EVS")</f>
        <v/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CE9D-C4C9-4D5F-A6B8-64B4CE7AD031}">
  <dimension ref="A1:V3"/>
  <sheetViews>
    <sheetView workbookViewId="0">
      <pane xSplit="2" topLeftCell="C1" activePane="topRight" state="frozen"/>
      <selection pane="topRight" activeCell="B1" sqref="B1"/>
    </sheetView>
  </sheetViews>
  <sheetFormatPr defaultColWidth="9.21875" defaultRowHeight="14.4" x14ac:dyDescent="0.3"/>
  <cols>
    <col min="1" max="1" width="5.21875" style="2" customWidth="1"/>
    <col min="2" max="2" width="13.21875" style="2" customWidth="1"/>
    <col min="3" max="3" width="9.21875" style="2"/>
    <col min="4" max="4" width="11.21875" style="2" bestFit="1" customWidth="1"/>
    <col min="5" max="5" width="15.21875" style="2" bestFit="1" customWidth="1"/>
    <col min="6" max="6" width="13.77734375" style="2" bestFit="1" customWidth="1"/>
    <col min="7" max="7" width="11.21875" style="2" bestFit="1" customWidth="1"/>
    <col min="8" max="8" width="15.21875" style="2" bestFit="1" customWidth="1"/>
    <col min="9" max="9" width="9.21875" style="2"/>
    <col min="10" max="10" width="11.21875" style="2" bestFit="1" customWidth="1"/>
    <col min="11" max="11" width="15.21875" style="2" bestFit="1" customWidth="1"/>
    <col min="12" max="12" width="9.21875" style="2"/>
    <col min="13" max="13" width="11.21875" style="2" bestFit="1" customWidth="1"/>
    <col min="14" max="14" width="15.21875" style="2" bestFit="1" customWidth="1"/>
    <col min="15" max="16" width="15.21875" style="2" customWidth="1"/>
    <col min="17" max="17" width="12.5546875" style="2" customWidth="1"/>
    <col min="18" max="18" width="19.77734375" style="2" customWidth="1"/>
    <col min="19" max="21" width="9.21875" style="2"/>
    <col min="22" max="22" width="51.77734375" style="2" bestFit="1" customWidth="1"/>
    <col min="23" max="16384" width="9.21875" style="2"/>
  </cols>
  <sheetData>
    <row r="1" spans="1:22" ht="29.25" customHeight="1" x14ac:dyDescent="0.3">
      <c r="A1" s="1" t="s">
        <v>26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10</v>
      </c>
      <c r="G1" s="1" t="s">
        <v>11</v>
      </c>
      <c r="H1" s="1" t="s">
        <v>12</v>
      </c>
      <c r="I1" s="1" t="s">
        <v>10</v>
      </c>
      <c r="J1" s="1" t="s">
        <v>11</v>
      </c>
      <c r="K1" s="1" t="s">
        <v>12</v>
      </c>
      <c r="L1" s="1" t="s">
        <v>10</v>
      </c>
      <c r="M1" s="1" t="s">
        <v>11</v>
      </c>
      <c r="N1" s="1" t="s">
        <v>12</v>
      </c>
      <c r="O1" s="1" t="s">
        <v>10</v>
      </c>
      <c r="P1" s="1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1" t="s">
        <v>17</v>
      </c>
    </row>
    <row r="2" spans="1:22" x14ac:dyDescent="0.3">
      <c r="A2" s="2">
        <v>1</v>
      </c>
      <c r="B2" s="2" t="s">
        <v>84</v>
      </c>
      <c r="C2" s="2" t="s">
        <v>22</v>
      </c>
      <c r="D2" s="2">
        <v>100</v>
      </c>
      <c r="E2" s="2">
        <v>62</v>
      </c>
      <c r="F2" s="2" t="s">
        <v>86</v>
      </c>
      <c r="G2" s="2">
        <v>100</v>
      </c>
      <c r="H2" s="2">
        <v>71</v>
      </c>
      <c r="I2" s="2" t="s">
        <v>24</v>
      </c>
      <c r="J2" s="2">
        <v>100</v>
      </c>
      <c r="K2" s="2">
        <v>85</v>
      </c>
      <c r="L2" s="2" t="s">
        <v>23</v>
      </c>
      <c r="M2" s="2">
        <v>100</v>
      </c>
      <c r="N2" s="2">
        <v>69</v>
      </c>
      <c r="O2" s="2" t="s">
        <v>73</v>
      </c>
      <c r="P2" s="2">
        <v>50</v>
      </c>
      <c r="Q2" s="2">
        <v>39</v>
      </c>
      <c r="R2" s="2">
        <f>+D2+G2+J2+M2+P2</f>
        <v>450</v>
      </c>
      <c r="S2" s="2">
        <f>E2+H2+K2+N2+Q2</f>
        <v>326</v>
      </c>
      <c r="T2" s="2">
        <f>S2/R2*100</f>
        <v>72.444444444444443</v>
      </c>
      <c r="U2" s="2" t="str" cm="1">
        <f t="array" ref="U2">_xlfn.IFS(T2&gt;75, "A", T2&gt;60, "B", T2&gt;45, "C", T2&gt;33, "D", T2&lt;33, "E")</f>
        <v>B</v>
      </c>
      <c r="V2" s="2" t="str" cm="1">
        <f t="array" ref="V2">_xlfn.IFS(U2="A", "Excellent work! Consistently strong effort and achievement.", U2="B", "Great job! Solid understanding, keep striving for excellence.",U2="C", "Meets expectations. Focus on improvement with subject skills.", U2="D", "Needs improvement. Seek extra help and focus to grasp concepts.", U2="E", "Needs more efforts. Regular attendance and focus needed.")</f>
        <v>Great job! Solid understanding, keep striving for excellence.</v>
      </c>
    </row>
    <row r="3" spans="1:22" x14ac:dyDescent="0.3">
      <c r="A3" s="2">
        <v>2</v>
      </c>
      <c r="B3" s="2" t="s">
        <v>85</v>
      </c>
      <c r="C3" s="2" t="s">
        <v>22</v>
      </c>
      <c r="D3" s="2">
        <v>100</v>
      </c>
      <c r="E3" s="2">
        <v>32</v>
      </c>
      <c r="F3" s="2" t="s">
        <v>86</v>
      </c>
      <c r="G3" s="2">
        <v>100</v>
      </c>
      <c r="H3" s="2">
        <v>54</v>
      </c>
      <c r="I3" s="2" t="s">
        <v>24</v>
      </c>
      <c r="J3" s="2">
        <v>100</v>
      </c>
      <c r="K3" s="2">
        <v>80</v>
      </c>
      <c r="L3" s="2" t="s">
        <v>23</v>
      </c>
      <c r="M3" s="2">
        <v>100</v>
      </c>
      <c r="N3" s="2">
        <v>60</v>
      </c>
      <c r="O3" s="2" t="s">
        <v>73</v>
      </c>
      <c r="P3" s="2">
        <v>50</v>
      </c>
      <c r="Q3" s="2">
        <v>32</v>
      </c>
      <c r="R3" s="2">
        <f>+D3+G3+J3+M3+P3</f>
        <v>450</v>
      </c>
      <c r="S3" s="2">
        <f>E3+H3+K3+N3+Q3</f>
        <v>258</v>
      </c>
      <c r="T3" s="2">
        <f>S3/R3*100</f>
        <v>57.333333333333336</v>
      </c>
      <c r="U3" s="2" t="str" cm="1">
        <f t="array" ref="U3">_xlfn.IFS(T3&gt;75, "A", T3&gt;60, "B", T3&gt;45, "C", T3&gt;33, "D", T3&lt;33, "E")</f>
        <v>C</v>
      </c>
      <c r="V3" s="2" t="str" cm="1">
        <f t="array" ref="V3">_xlfn.IFS(U3="A", "Excellent work! Consistently strong effort and achievement.", U3="B", "Great job! Solid understanding, keep striving for excellence.",U3="C", "Meets expectations. Focus on improvement with subject skills.", U3="D", "Needs improvement. Seek extra help and focus to grasp concepts.", U3="E", "Needs more efforts. Regular attendance and focus needed.")</f>
        <v>Meets expectations. Focus on improvement with subject skills.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7734-6430-4725-8509-63238DB3F2A2}">
  <dimension ref="A1:Y3"/>
  <sheetViews>
    <sheetView tabSelected="1" workbookViewId="0">
      <pane xSplit="2" topLeftCell="C1" activePane="topRight" state="frozen"/>
      <selection pane="topRight" activeCell="V2" sqref="V2:V3"/>
    </sheetView>
  </sheetViews>
  <sheetFormatPr defaultColWidth="9.21875" defaultRowHeight="14.4" x14ac:dyDescent="0.3"/>
  <cols>
    <col min="1" max="1" width="9.21875" style="2"/>
    <col min="2" max="2" width="11.21875" style="2" bestFit="1" customWidth="1"/>
    <col min="3" max="3" width="9.21875" style="2"/>
    <col min="4" max="4" width="11.21875" style="2" bestFit="1" customWidth="1"/>
    <col min="5" max="5" width="15.21875" style="2" bestFit="1" customWidth="1"/>
    <col min="6" max="6" width="13.77734375" style="2" bestFit="1" customWidth="1"/>
    <col min="7" max="7" width="11.21875" style="2" bestFit="1" customWidth="1"/>
    <col min="8" max="8" width="15.21875" style="2" bestFit="1" customWidth="1"/>
    <col min="9" max="9" width="9.21875" style="2"/>
    <col min="10" max="10" width="11.21875" style="2" bestFit="1" customWidth="1"/>
    <col min="11" max="11" width="15.21875" style="2" bestFit="1" customWidth="1"/>
    <col min="12" max="12" width="9.21875" style="2"/>
    <col min="13" max="13" width="11.21875" style="2" bestFit="1" customWidth="1"/>
    <col min="14" max="14" width="15.21875" style="2" bestFit="1" customWidth="1"/>
    <col min="15" max="16" width="15.21875" style="2" customWidth="1"/>
    <col min="17" max="17" width="12.5546875" style="2" customWidth="1"/>
    <col min="18" max="19" width="15.21875" style="2" customWidth="1"/>
    <col min="20" max="20" width="12.5546875" style="2" customWidth="1"/>
    <col min="21" max="21" width="19.77734375" style="2" customWidth="1"/>
    <col min="22" max="24" width="9.21875" style="2"/>
    <col min="25" max="25" width="51.77734375" style="2" bestFit="1" customWidth="1"/>
    <col min="26" max="16384" width="9.21875" style="2"/>
  </cols>
  <sheetData>
    <row r="1" spans="1:25" ht="29.25" customHeight="1" x14ac:dyDescent="0.3">
      <c r="A1" s="1" t="s">
        <v>26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10</v>
      </c>
      <c r="G1" s="1" t="s">
        <v>11</v>
      </c>
      <c r="H1" s="1" t="s">
        <v>12</v>
      </c>
      <c r="I1" s="1" t="s">
        <v>10</v>
      </c>
      <c r="J1" s="1" t="s">
        <v>11</v>
      </c>
      <c r="K1" s="1" t="s">
        <v>12</v>
      </c>
      <c r="L1" s="1" t="s">
        <v>10</v>
      </c>
      <c r="M1" s="1" t="s">
        <v>11</v>
      </c>
      <c r="N1" s="1" t="s">
        <v>12</v>
      </c>
      <c r="O1" s="1" t="s">
        <v>10</v>
      </c>
      <c r="P1" s="1" t="s">
        <v>11</v>
      </c>
      <c r="Q1" s="3" t="s">
        <v>12</v>
      </c>
      <c r="R1" s="1" t="s">
        <v>10</v>
      </c>
      <c r="S1" s="1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1" t="s">
        <v>16</v>
      </c>
      <c r="Y1" s="1" t="s">
        <v>17</v>
      </c>
    </row>
    <row r="2" spans="1:25" x14ac:dyDescent="0.3">
      <c r="A2" s="2">
        <v>1</v>
      </c>
      <c r="B2" s="2" t="s">
        <v>93</v>
      </c>
      <c r="C2" s="2" t="s">
        <v>22</v>
      </c>
      <c r="D2" s="2">
        <v>60</v>
      </c>
      <c r="E2" s="2">
        <v>56</v>
      </c>
      <c r="F2" s="2" t="s">
        <v>95</v>
      </c>
      <c r="G2" s="2">
        <v>100</v>
      </c>
      <c r="H2" s="2">
        <v>35</v>
      </c>
      <c r="I2" s="2" t="s">
        <v>24</v>
      </c>
      <c r="J2" s="2">
        <v>60</v>
      </c>
      <c r="K2" s="2">
        <v>34</v>
      </c>
      <c r="L2" s="2" t="s">
        <v>23</v>
      </c>
      <c r="M2" s="2">
        <v>50</v>
      </c>
      <c r="N2" s="2">
        <v>21</v>
      </c>
      <c r="O2" s="2" t="s">
        <v>28</v>
      </c>
      <c r="P2" s="2">
        <v>50</v>
      </c>
      <c r="Q2" s="2">
        <v>25</v>
      </c>
      <c r="R2" s="2" t="s">
        <v>73</v>
      </c>
      <c r="S2" s="2">
        <v>50</v>
      </c>
      <c r="T2" s="2">
        <v>30</v>
      </c>
      <c r="U2" s="2">
        <f>+D2+G2+J2+M2+P2+S2</f>
        <v>370</v>
      </c>
      <c r="V2" s="2">
        <f>E2+H2+K2+N2+Q2+T2</f>
        <v>201</v>
      </c>
      <c r="W2" s="2">
        <f>V2/U2*100</f>
        <v>54.324324324324323</v>
      </c>
      <c r="X2" s="2" t="str" cm="1">
        <f t="array" ref="X2">_xlfn.IFS(W2&gt;75, "A", W2&gt;60, "B", W2&gt;45, "C", W2&gt;33, "D", W2&lt;33, "E")</f>
        <v>C</v>
      </c>
      <c r="Y2" s="2" t="str" cm="1">
        <f t="array" ref="Y2">_xlfn.IFS(X2="A", "Excellent work! Consistently strong effort and achievement.", X2="B", "Great job! Solid understanding, keep striving for excellence.",X2="C", "Meets expectations. Focus on improvement with subject skills.", X2="D", "Needs improvement. Seek extra help and focus to grasp concepts.", X2="E", "Needs more efforts. Regular attendance and focus needed.")</f>
        <v>Meets expectations. Focus on improvement with subject skills.</v>
      </c>
    </row>
    <row r="3" spans="1:25" x14ac:dyDescent="0.3">
      <c r="A3" s="2">
        <v>2</v>
      </c>
      <c r="B3" s="2" t="s">
        <v>94</v>
      </c>
      <c r="C3" s="2" t="s">
        <v>22</v>
      </c>
      <c r="D3" s="2">
        <v>60</v>
      </c>
      <c r="E3" s="2">
        <v>51</v>
      </c>
      <c r="F3" s="2" t="s">
        <v>95</v>
      </c>
      <c r="G3" s="2">
        <v>100</v>
      </c>
      <c r="H3" s="2">
        <v>34</v>
      </c>
      <c r="I3" s="2" t="s">
        <v>24</v>
      </c>
      <c r="J3" s="2">
        <v>60</v>
      </c>
      <c r="K3" s="2">
        <v>35</v>
      </c>
      <c r="L3" s="2" t="s">
        <v>23</v>
      </c>
      <c r="M3" s="2">
        <v>50</v>
      </c>
      <c r="N3" s="2">
        <v>21</v>
      </c>
      <c r="O3" s="2" t="s">
        <v>28</v>
      </c>
      <c r="P3" s="2">
        <v>50</v>
      </c>
      <c r="Q3" s="2">
        <v>25</v>
      </c>
      <c r="R3" s="2" t="s">
        <v>73</v>
      </c>
      <c r="S3" s="2">
        <v>50</v>
      </c>
      <c r="T3" s="2">
        <v>30</v>
      </c>
      <c r="U3" s="2">
        <f>+D3+G3+J3+M3+P3+S3</f>
        <v>370</v>
      </c>
      <c r="V3" s="2">
        <f>E3+H3+K3+N3+Q3+T3</f>
        <v>196</v>
      </c>
      <c r="W3" s="2">
        <f>V3/U3*100</f>
        <v>52.972972972972975</v>
      </c>
      <c r="X3" s="2" t="str" cm="1">
        <f t="array" ref="X3">_xlfn.IFS(W3&gt;75, "A", W3&gt;60, "B", W3&gt;45, "C", W3&gt;33, "D", W3&lt;33, "E")</f>
        <v>C</v>
      </c>
      <c r="Y3" s="2" t="str" cm="1">
        <f t="array" ref="Y3">_xlfn.IFS(X3="A", "Excellent work! Consistently strong effort and achievement.", X3="B", "Great job! Solid understanding, keep striving for excellence.",X3="C", "Meets expectations. Focus on improvement with subject skills.", X3="D", "Needs improvement. Seek extra help and focus to grasp concepts.", X3="E", "Needs more efforts. Regular attendance and focus needed.")</f>
        <v>Meets expectations. Focus on improvement with subject skills.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03CD-95D5-4FB2-878C-9CFA15A43F9D}">
  <dimension ref="A1:W2"/>
  <sheetViews>
    <sheetView workbookViewId="0">
      <pane xSplit="2" topLeftCell="C1" activePane="topRight" state="frozen"/>
      <selection pane="topRight" activeCell="R2" sqref="R2"/>
    </sheetView>
  </sheetViews>
  <sheetFormatPr defaultColWidth="9.21875" defaultRowHeight="14.4" x14ac:dyDescent="0.3"/>
  <cols>
    <col min="1" max="1" width="9.21875" style="2"/>
    <col min="2" max="2" width="11.21875" style="2" bestFit="1" customWidth="1"/>
    <col min="3" max="3" width="13.77734375" style="2" bestFit="1" customWidth="1"/>
    <col min="4" max="4" width="11.21875" style="2" bestFit="1" customWidth="1"/>
    <col min="5" max="5" width="15.21875" style="2" bestFit="1" customWidth="1"/>
    <col min="6" max="6" width="9.21875" style="2"/>
    <col min="7" max="7" width="11.21875" style="2" bestFit="1" customWidth="1"/>
    <col min="8" max="8" width="15.21875" style="2" bestFit="1" customWidth="1"/>
    <col min="9" max="9" width="9.21875" style="2"/>
    <col min="10" max="10" width="11.21875" style="2" bestFit="1" customWidth="1"/>
    <col min="11" max="11" width="15.21875" style="2" bestFit="1" customWidth="1"/>
    <col min="12" max="12" width="9.21875" style="2"/>
    <col min="13" max="13" width="11.21875" style="2" bestFit="1" customWidth="1"/>
    <col min="14" max="14" width="15.21875" style="2" bestFit="1" customWidth="1"/>
    <col min="15" max="15" width="9.21875" style="2"/>
    <col min="16" max="16" width="11.21875" style="2" bestFit="1" customWidth="1"/>
    <col min="17" max="17" width="15.21875" style="2" bestFit="1" customWidth="1"/>
    <col min="18" max="22" width="9.21875" style="2"/>
    <col min="23" max="23" width="60" style="2" bestFit="1" customWidth="1"/>
    <col min="24" max="16384" width="9.21875" style="2"/>
  </cols>
  <sheetData>
    <row r="1" spans="1:23" ht="43.2" x14ac:dyDescent="0.3">
      <c r="A1" s="2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10</v>
      </c>
      <c r="G1" s="1" t="s">
        <v>11</v>
      </c>
      <c r="H1" s="1" t="s">
        <v>12</v>
      </c>
      <c r="I1" s="1" t="s">
        <v>10</v>
      </c>
      <c r="J1" s="1" t="s">
        <v>11</v>
      </c>
      <c r="K1" s="1" t="s">
        <v>12</v>
      </c>
      <c r="L1" s="1" t="s">
        <v>10</v>
      </c>
      <c r="M1" s="1" t="s">
        <v>11</v>
      </c>
      <c r="N1" s="1" t="s">
        <v>12</v>
      </c>
      <c r="O1" s="1" t="s">
        <v>10</v>
      </c>
      <c r="P1" s="1" t="s">
        <v>11</v>
      </c>
      <c r="Q1" s="1" t="s">
        <v>12</v>
      </c>
      <c r="R1" s="3" t="s">
        <v>19</v>
      </c>
      <c r="S1" s="3" t="s">
        <v>13</v>
      </c>
      <c r="T1" s="3" t="s">
        <v>14</v>
      </c>
      <c r="U1" s="3" t="s">
        <v>15</v>
      </c>
      <c r="V1" s="1" t="s">
        <v>16</v>
      </c>
      <c r="W1" s="1" t="s">
        <v>17</v>
      </c>
    </row>
    <row r="2" spans="1:23" x14ac:dyDescent="0.3">
      <c r="A2" s="2">
        <v>1</v>
      </c>
      <c r="B2" s="2" t="s">
        <v>63</v>
      </c>
      <c r="C2" s="2" t="s">
        <v>27</v>
      </c>
      <c r="D2" s="2">
        <v>60</v>
      </c>
      <c r="E2" s="2">
        <v>33</v>
      </c>
      <c r="F2" s="2" t="s">
        <v>22</v>
      </c>
      <c r="G2" s="2">
        <v>80</v>
      </c>
      <c r="H2" s="2">
        <v>37</v>
      </c>
      <c r="I2" s="2" t="s">
        <v>28</v>
      </c>
      <c r="J2" s="2">
        <v>50</v>
      </c>
      <c r="K2" s="2">
        <v>23</v>
      </c>
      <c r="L2" s="2" t="s">
        <v>24</v>
      </c>
      <c r="M2" s="2">
        <v>60</v>
      </c>
      <c r="N2" s="2">
        <v>22</v>
      </c>
      <c r="O2" s="2" t="s">
        <v>23</v>
      </c>
      <c r="P2" s="2">
        <v>60</v>
      </c>
      <c r="Q2" s="2">
        <v>41</v>
      </c>
      <c r="R2" s="2">
        <v>90</v>
      </c>
      <c r="S2" s="2">
        <f>D2+G2+J2+M2+P2+100</f>
        <v>410</v>
      </c>
      <c r="T2" s="2">
        <f>E2+H2+K2+N2+Q2+R2</f>
        <v>246</v>
      </c>
      <c r="U2" s="2">
        <f>T2/S2*100</f>
        <v>60</v>
      </c>
      <c r="V2" s="2" t="str" cm="1">
        <f t="array" ref="V2">_xlfn.IFS(U2&gt;75, "A", U2&gt;60, "B", U2&gt;45, "C", U2&gt;33, "D", U2&lt;33, "E")</f>
        <v>C</v>
      </c>
      <c r="W2" s="2" t="str" cm="1">
        <f t="array" ref="W2">_xlfn.IFS(V2="A", "Excellent work! Consistently strong effort and achievement.", V2="B", "Great job! Solid understanding, keep striving for excellence.",V2="C", "Meets expectations. Focus on improvement with subject skills.", V2="D", "Needs improvement. Seek extra help and focus to grasp concepts.", V2="E", "Needs more efforts. Regular attendance and focus needed.")</f>
        <v>Meets expectations. Focus on improvement with subject skills.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1F873C-09C9-4EC7-A8A8-87023CBFC2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preseed 135</vt:lpstr>
      <vt:lpstr>Seed 135</vt:lpstr>
      <vt:lpstr>Root 135</vt:lpstr>
      <vt:lpstr>Shoot 135</vt:lpstr>
      <vt:lpstr>135 class 3</vt:lpstr>
      <vt:lpstr>135 class 5</vt:lpstr>
      <vt:lpstr>135 class 6 </vt:lpstr>
      <vt:lpstr>135 class 9</vt:lpstr>
      <vt:lpstr>'preseed 135'!Print_Area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Anup Sinha</dc:creator>
  <cp:keywords/>
  <dc:description/>
  <cp:lastModifiedBy>Anup Sinha</cp:lastModifiedBy>
  <cp:revision/>
  <dcterms:created xsi:type="dcterms:W3CDTF">2024-04-15T12:03:29Z</dcterms:created>
  <dcterms:modified xsi:type="dcterms:W3CDTF">2025-11-27T10:44:51Z</dcterms:modified>
  <cp:category/>
  <cp:contentStatus/>
</cp:coreProperties>
</file>